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_Feature_layer" sheetId="1" r:id="rId5"/>
    <sheet state="visible" name="Feature_Map_1" sheetId="2" r:id="rId6"/>
    <sheet state="visible" name="Feature_Map_2" sheetId="3" r:id="rId7"/>
    <sheet state="visible" name="Feature_Vector_1" sheetId="4" r:id="rId8"/>
    <sheet state="visible" name="Feature_Vector_2" sheetId="5" r:id="rId9"/>
  </sheets>
  <definedNames>
    <definedName name="WRITE_MEM">LAMBDA(name, start_row, start_col, name &amp;"[" &amp; (ROW() - start_row) &amp; "][" &amp; (COLUMN() - start_col) &amp; "]")</definedName>
    <definedName name="FEATURE_MAP">LAMBDA(start_addr, rows, cols, label, ARRAYFORMULA({ 
  SEQUENCE(rows * cols, 1, start_addr), 
  label &amp;"[" &amp; QUOTIENT(SEQUENCE(rows * cols, 1, 0), cols) &amp; "][" &amp; MOD(SEQUENCE(rows * cols, 1, 0), cols) &amp; "]" 
}))</definedName>
  </definedNames>
  <calcPr/>
</workbook>
</file>

<file path=xl/sharedStrings.xml><?xml version="1.0" encoding="utf-8"?>
<sst xmlns="http://schemas.openxmlformats.org/spreadsheetml/2006/main" count="5186" uniqueCount="2477">
  <si>
    <t>in_address "Virtural Address"</t>
  </si>
  <si>
    <t>Index (i, j)</t>
  </si>
  <si>
    <t>mem_address</t>
  </si>
  <si>
    <t>mem_1</t>
  </si>
  <si>
    <t>mem_2</t>
  </si>
  <si>
    <t>mem_3</t>
  </si>
  <si>
    <t>mem_4</t>
  </si>
  <si>
    <t>mem_5</t>
  </si>
  <si>
    <t>mem_6</t>
  </si>
  <si>
    <t>i = mem_address/16</t>
  </si>
  <si>
    <t>input[0][0]</t>
  </si>
  <si>
    <t>i +1</t>
  </si>
  <si>
    <t>input[0][1]</t>
  </si>
  <si>
    <t>i = in_address / 32 = mem_address /16</t>
  </si>
  <si>
    <t>input[0][2]</t>
  </si>
  <si>
    <t>input[0][3]</t>
  </si>
  <si>
    <t>input[0][4]</t>
  </si>
  <si>
    <t>input[0][5]</t>
  </si>
  <si>
    <t xml:space="preserve">TODO: give me an address ordering that is suitable 
for feeding the inputs that generate: </t>
  </si>
  <si>
    <t>Needs</t>
  </si>
  <si>
    <t>input[i][1]</t>
  </si>
  <si>
    <t>j = in_address % 32</t>
  </si>
  <si>
    <t>input[0][6]</t>
  </si>
  <si>
    <t>input[0][7]</t>
  </si>
  <si>
    <t>input[i][2]</t>
  </si>
  <si>
    <t>i+2</t>
  </si>
  <si>
    <t>input[0][8]</t>
  </si>
  <si>
    <t>input[0][9]</t>
  </si>
  <si>
    <t>FV1[n][0][1]</t>
  </si>
  <si>
    <t>input[0:5][2:7]</t>
  </si>
  <si>
    <t>input[i][3]</t>
  </si>
  <si>
    <t>input[0][10]</t>
  </si>
  <si>
    <t>input[0][11]</t>
  </si>
  <si>
    <t>FV1[n][0][2]</t>
  </si>
  <si>
    <t>input[0:5][4:9]</t>
  </si>
  <si>
    <t>input[i][4]</t>
  </si>
  <si>
    <t>i+3</t>
  </si>
  <si>
    <t>input[0][12]</t>
  </si>
  <si>
    <t>input[0][13]</t>
  </si>
  <si>
    <t>FV1[n][0][3]</t>
  </si>
  <si>
    <t>input[0:5][6:11]</t>
  </si>
  <si>
    <t>input[i][5]</t>
  </si>
  <si>
    <t>input[0][14]</t>
  </si>
  <si>
    <t>input[0][15]</t>
  </si>
  <si>
    <t>FV1[n][0][4]</t>
  </si>
  <si>
    <t>input[0:5][8:13]</t>
  </si>
  <si>
    <t>input[i][6]</t>
  </si>
  <si>
    <t>i+4</t>
  </si>
  <si>
    <t>input[0][16]</t>
  </si>
  <si>
    <t>input[0][17]</t>
  </si>
  <si>
    <t>FV1[n][0][5]</t>
  </si>
  <si>
    <t>input[0:5][10:15]</t>
  </si>
  <si>
    <t>input[i][7]</t>
  </si>
  <si>
    <t>input[0][18]</t>
  </si>
  <si>
    <t>input[0][19]</t>
  </si>
  <si>
    <t>FV1[n][0][6]</t>
  </si>
  <si>
    <t>input[0:5][12:17]</t>
  </si>
  <si>
    <t>input[i][8]</t>
  </si>
  <si>
    <t>i+5</t>
  </si>
  <si>
    <t>input[0][20]</t>
  </si>
  <si>
    <t>input[0][21]</t>
  </si>
  <si>
    <t>FV1[n][0][7]</t>
  </si>
  <si>
    <t>input[0:5][14:19]</t>
  </si>
  <si>
    <t>input[i][9]</t>
  </si>
  <si>
    <t>input[0][22]</t>
  </si>
  <si>
    <t>input[0][23]</t>
  </si>
  <si>
    <t>FV1[n][0][8]</t>
  </si>
  <si>
    <t>input[0:5][16:21]</t>
  </si>
  <si>
    <t>input[i][10]</t>
  </si>
  <si>
    <t>i+6</t>
  </si>
  <si>
    <t>input[0][24]</t>
  </si>
  <si>
    <t>input[0][25]</t>
  </si>
  <si>
    <t>FV1[n][0][9]</t>
  </si>
  <si>
    <t>input[0:5][18:23]</t>
  </si>
  <si>
    <t>input[i][11]</t>
  </si>
  <si>
    <t>input[0][26]</t>
  </si>
  <si>
    <t>input[0][27]</t>
  </si>
  <si>
    <t>FV1[n][0][10]</t>
  </si>
  <si>
    <t>input[0:5][20:25]</t>
  </si>
  <si>
    <t>input[i][12]</t>
  </si>
  <si>
    <t>i+7</t>
  </si>
  <si>
    <t>FV1[n][0][11]</t>
  </si>
  <si>
    <t>input[0:5][22:27]</t>
  </si>
  <si>
    <t>input[i][13]</t>
  </si>
  <si>
    <t>FV1[n][1][0]</t>
  </si>
  <si>
    <t>input[2:7][0:5]</t>
  </si>
  <si>
    <t>input[i][14]</t>
  </si>
  <si>
    <t>i+8</t>
  </si>
  <si>
    <t>FV1[n][1][1]</t>
  </si>
  <si>
    <t>input[2:7][2:7]</t>
  </si>
  <si>
    <t>input[i][15]</t>
  </si>
  <si>
    <t>FV1[n][1][2]</t>
  </si>
  <si>
    <t>input[2:7][4:9]</t>
  </si>
  <si>
    <t>input[i][16]</t>
  </si>
  <si>
    <t>i+9</t>
  </si>
  <si>
    <t>input[1][1]</t>
  </si>
  <si>
    <t>input[1][2]</t>
  </si>
  <si>
    <t>input[1][3]</t>
  </si>
  <si>
    <t>input[1][4]</t>
  </si>
  <si>
    <t>input[1][5]</t>
  </si>
  <si>
    <t>FV1[n][1][3]</t>
  </si>
  <si>
    <t>input[2:7][6:11]</t>
  </si>
  <si>
    <t>input[i][17]</t>
  </si>
  <si>
    <t>input[1][6]</t>
  </si>
  <si>
    <t>input[1][7]</t>
  </si>
  <si>
    <t>FV1[n][1][4]</t>
  </si>
  <si>
    <t>input[2:7][8:13]</t>
  </si>
  <si>
    <t>input[i][18]</t>
  </si>
  <si>
    <t>i+10</t>
  </si>
  <si>
    <t>input[1][8]</t>
  </si>
  <si>
    <t>input[1][9]</t>
  </si>
  <si>
    <t>FV1[n][1][5]</t>
  </si>
  <si>
    <t>input[2:7][10:15]</t>
  </si>
  <si>
    <t>input[i][19]</t>
  </si>
  <si>
    <t>input[1][10]</t>
  </si>
  <si>
    <t>input[1][11]</t>
  </si>
  <si>
    <t>FV1[n][1][6]</t>
  </si>
  <si>
    <t>input[2:7][12:17]</t>
  </si>
  <si>
    <t>input[i][20]</t>
  </si>
  <si>
    <t>i+11</t>
  </si>
  <si>
    <t>input[1][12]</t>
  </si>
  <si>
    <t>input[1][13]</t>
  </si>
  <si>
    <t>FV1[n][1][7]</t>
  </si>
  <si>
    <t>input[2:7][14:19]</t>
  </si>
  <si>
    <t>input[i][21]</t>
  </si>
  <si>
    <t>input[1][14]</t>
  </si>
  <si>
    <t>input[1][15]</t>
  </si>
  <si>
    <t>FV1[n][1][8]</t>
  </si>
  <si>
    <t>input[2:7][16:21]</t>
  </si>
  <si>
    <t>input[i][22]</t>
  </si>
  <si>
    <t>i+12</t>
  </si>
  <si>
    <t>input[1][16]</t>
  </si>
  <si>
    <t>input[1][17]</t>
  </si>
  <si>
    <t>FV1[n][1][9]</t>
  </si>
  <si>
    <t>input[2:7][18:23]</t>
  </si>
  <si>
    <t>input[i][23]</t>
  </si>
  <si>
    <t>input[1][18]</t>
  </si>
  <si>
    <t>input[1][19]</t>
  </si>
  <si>
    <t>FV1[n][1][10]</t>
  </si>
  <si>
    <t>input[2:7][20:25]</t>
  </si>
  <si>
    <t>input[i][24]</t>
  </si>
  <si>
    <t>input[1][20]</t>
  </si>
  <si>
    <t>input[1][21]</t>
  </si>
  <si>
    <t>FV1[n][1][11]</t>
  </si>
  <si>
    <t>input[2:7][22:27]</t>
  </si>
  <si>
    <t>input[i][25]</t>
  </si>
  <si>
    <t>input[1][22]</t>
  </si>
  <si>
    <t>input[1][23]</t>
  </si>
  <si>
    <t>FV1[n][2][0]</t>
  </si>
  <si>
    <t>input[4:9][0:5]</t>
  </si>
  <si>
    <t>input[i][26]</t>
  </si>
  <si>
    <t>input[1][24]</t>
  </si>
  <si>
    <t>input[1][25]</t>
  </si>
  <si>
    <t>FV1[n][2][1]</t>
  </si>
  <si>
    <t>input[4:9][2:7]</t>
  </si>
  <si>
    <t>input[i][27]</t>
  </si>
  <si>
    <t>input[1][26]</t>
  </si>
  <si>
    <t>input[1][27]</t>
  </si>
  <si>
    <t>FV1[n][2][2]</t>
  </si>
  <si>
    <t>input[4:9][4:9]</t>
  </si>
  <si>
    <t>FV1[n][2][3]</t>
  </si>
  <si>
    <t>input[4:9][6:11]</t>
  </si>
  <si>
    <t>FV1[n][2][4]</t>
  </si>
  <si>
    <t>input[4:9][8:13]</t>
  </si>
  <si>
    <t>FV1[n][2][5]</t>
  </si>
  <si>
    <t>input[4:9][10:15]</t>
  </si>
  <si>
    <t>input[1][0]</t>
  </si>
  <si>
    <t>FV1[n][2][6]</t>
  </si>
  <si>
    <t>input[4:9][12:17]</t>
  </si>
  <si>
    <t>input[2][1]</t>
  </si>
  <si>
    <t>input[2][2]</t>
  </si>
  <si>
    <t>input[2][3]</t>
  </si>
  <si>
    <t>input[2][4]</t>
  </si>
  <si>
    <t>input[2][5]</t>
  </si>
  <si>
    <t>FV1[n][2][7]</t>
  </si>
  <si>
    <t>input[4:9][14:19]</t>
  </si>
  <si>
    <t>input[2][6]</t>
  </si>
  <si>
    <t>input[2][7]</t>
  </si>
  <si>
    <t>FV1[n][2][8]</t>
  </si>
  <si>
    <t>input[4:9][16:21]</t>
  </si>
  <si>
    <t>input[2][8]</t>
  </si>
  <si>
    <t>input[2][9]</t>
  </si>
  <si>
    <t>FV1[n][2][9]</t>
  </si>
  <si>
    <t>input[4:9][18:23]</t>
  </si>
  <si>
    <t>input[2][10]</t>
  </si>
  <si>
    <t>input[2][11]</t>
  </si>
  <si>
    <t>FV1[n][2][10]</t>
  </si>
  <si>
    <t>input[4:9][20:25]</t>
  </si>
  <si>
    <t>input[2][12]</t>
  </si>
  <si>
    <t>input[2][13]</t>
  </si>
  <si>
    <t>FV1[n][2][11]</t>
  </si>
  <si>
    <t>input[4:9][22:27]</t>
  </si>
  <si>
    <t>input[2][14]</t>
  </si>
  <si>
    <t>input[2][15]</t>
  </si>
  <si>
    <t>FV1[n][3][0]</t>
  </si>
  <si>
    <t>input[6:11][0:5]</t>
  </si>
  <si>
    <t>input[2][16]</t>
  </si>
  <si>
    <t>input[2][17]</t>
  </si>
  <si>
    <t>FV1[n][3][1]</t>
  </si>
  <si>
    <t>input[6:11][2:7]</t>
  </si>
  <si>
    <t>input[2][18]</t>
  </si>
  <si>
    <t>input[2][19]</t>
  </si>
  <si>
    <t>FV1[n][3][2]</t>
  </si>
  <si>
    <t>input[6:11][4:9]</t>
  </si>
  <si>
    <t>input[2][20]</t>
  </si>
  <si>
    <t>input[2][21]</t>
  </si>
  <si>
    <t>FV1[n][3][3]</t>
  </si>
  <si>
    <t>input[6:11][6:11]</t>
  </si>
  <si>
    <t>input[2][22]</t>
  </si>
  <si>
    <t>input[2][23]</t>
  </si>
  <si>
    <t>FV1[n][3][4]</t>
  </si>
  <si>
    <t>input[6:11][8:13]</t>
  </si>
  <si>
    <t>input[2][24]</t>
  </si>
  <si>
    <t>input[2][25]</t>
  </si>
  <si>
    <t>FV1[n][3][5]</t>
  </si>
  <si>
    <t>input[6:11][10:15]</t>
  </si>
  <si>
    <t>input[2][26]</t>
  </si>
  <si>
    <t>input[2][27]</t>
  </si>
  <si>
    <t>FV1[n][3][6]</t>
  </si>
  <si>
    <t>input[6:11][12:17]</t>
  </si>
  <si>
    <t>FV1[n][3][7]</t>
  </si>
  <si>
    <t>input[6:11][14:19]</t>
  </si>
  <si>
    <t>FV1[n][3][8]</t>
  </si>
  <si>
    <t>input[6:11][16:21]</t>
  </si>
  <si>
    <t>FV1[n][3][9]</t>
  </si>
  <si>
    <t>input[6:11][18:23]</t>
  </si>
  <si>
    <t>FV1[n][3][10]</t>
  </si>
  <si>
    <t>input[6:11][20:25]</t>
  </si>
  <si>
    <t>input[3][1]</t>
  </si>
  <si>
    <t>input[3][2]</t>
  </si>
  <si>
    <t>input[3][3]</t>
  </si>
  <si>
    <t>input[3][4]</t>
  </si>
  <si>
    <t>input[3][5]</t>
  </si>
  <si>
    <t>FV1[n][3][11]</t>
  </si>
  <si>
    <t>input[6:11][22:27]</t>
  </si>
  <si>
    <t>input[3][6]</t>
  </si>
  <si>
    <t>input[3][7]</t>
  </si>
  <si>
    <t>FV1[n][4][0]</t>
  </si>
  <si>
    <t>input[8:13][0:5]</t>
  </si>
  <si>
    <t>input[3][8]</t>
  </si>
  <si>
    <t>input[3][9]</t>
  </si>
  <si>
    <t>FV1[n][4][1]</t>
  </si>
  <si>
    <t>input[8:13][2:7]</t>
  </si>
  <si>
    <t>input[3][10]</t>
  </si>
  <si>
    <t>input[3][11]</t>
  </si>
  <si>
    <t>FV1[n][4][2]</t>
  </si>
  <si>
    <t>input[8:13][4:9]</t>
  </si>
  <si>
    <t>input[3][12]</t>
  </si>
  <si>
    <t>input[3][13]</t>
  </si>
  <si>
    <t>FV1[n][4][3]</t>
  </si>
  <si>
    <t>input[8:13][6:11]</t>
  </si>
  <si>
    <t>input[3][14]</t>
  </si>
  <si>
    <t>input[3][15]</t>
  </si>
  <si>
    <t>FV1[n][4][4]</t>
  </si>
  <si>
    <t>input[8:13][8:13]</t>
  </si>
  <si>
    <t>input[3][16]</t>
  </si>
  <si>
    <t>input[3][17]</t>
  </si>
  <si>
    <t>FV1[n][4][5]</t>
  </si>
  <si>
    <t>input[8:13][10:15]</t>
  </si>
  <si>
    <t>input[3][18]</t>
  </si>
  <si>
    <t>input[3][19]</t>
  </si>
  <si>
    <t>FV1[n][4][6]</t>
  </si>
  <si>
    <t>input[8:13][12:17]</t>
  </si>
  <si>
    <t>input[3][20]</t>
  </si>
  <si>
    <t>input[3][21]</t>
  </si>
  <si>
    <t>FV1[n][4][7]</t>
  </si>
  <si>
    <t>input[8:13][14:19]</t>
  </si>
  <si>
    <t>input[3][22]</t>
  </si>
  <si>
    <t>input[3][23]</t>
  </si>
  <si>
    <t>FV1[n][4][8]</t>
  </si>
  <si>
    <t>input[8:13][16:21]</t>
  </si>
  <si>
    <t>input[3][24]</t>
  </si>
  <si>
    <t>input[3][25]</t>
  </si>
  <si>
    <t>FV1[n][4][9]</t>
  </si>
  <si>
    <t>input[8:13][18:23]</t>
  </si>
  <si>
    <t>input[3][26]</t>
  </si>
  <si>
    <t>input[3][27]</t>
  </si>
  <si>
    <t>FV1[n][4][10]</t>
  </si>
  <si>
    <t>input[8:13][20:25]</t>
  </si>
  <si>
    <t>FV1[n][4][11]</t>
  </si>
  <si>
    <t>input[8:13][22:27]</t>
  </si>
  <si>
    <t>FV1[n][5][0]</t>
  </si>
  <si>
    <t>input[10:15][0:5]</t>
  </si>
  <si>
    <t>FV1[n][5][1]</t>
  </si>
  <si>
    <t>input[10:15][2:7]</t>
  </si>
  <si>
    <t>input[2][0]</t>
  </si>
  <si>
    <t>FV1[n][5][2]</t>
  </si>
  <si>
    <t>input[10:15][4:9]</t>
  </si>
  <si>
    <t>input[4][1]</t>
  </si>
  <si>
    <t>input[4][2]</t>
  </si>
  <si>
    <t>input[4][3]</t>
  </si>
  <si>
    <t>input[4][4]</t>
  </si>
  <si>
    <t>input[4][5]</t>
  </si>
  <si>
    <t>FV1[n][5][3]</t>
  </si>
  <si>
    <t>input[10:15][6:11]</t>
  </si>
  <si>
    <t>input[4][6]</t>
  </si>
  <si>
    <t>input[4][7]</t>
  </si>
  <si>
    <t>FV1[n][5][4]</t>
  </si>
  <si>
    <t>input[10:15][8:13]</t>
  </si>
  <si>
    <t>input[4][8]</t>
  </si>
  <si>
    <t>input[4][9]</t>
  </si>
  <si>
    <t>FV1[n][5][5]</t>
  </si>
  <si>
    <t>input[10:15][10:15]</t>
  </si>
  <si>
    <t>input[4][10]</t>
  </si>
  <si>
    <t>input[4][11]</t>
  </si>
  <si>
    <t>FV1[n][5][6]</t>
  </si>
  <si>
    <t>input[10:15][12:17]</t>
  </si>
  <si>
    <t>input[4][12]</t>
  </si>
  <si>
    <t>input[4][13]</t>
  </si>
  <si>
    <t>FV1[n][5][7]</t>
  </si>
  <si>
    <t>input[10:15][14:19]</t>
  </si>
  <si>
    <t>input[4][14]</t>
  </si>
  <si>
    <t>input[4][15]</t>
  </si>
  <si>
    <t>FV1[n][5][8]</t>
  </si>
  <si>
    <t>input[10:15][16:21]</t>
  </si>
  <si>
    <t>input[4][16]</t>
  </si>
  <si>
    <t>input[4][17]</t>
  </si>
  <si>
    <t>FV1[n][5][9]</t>
  </si>
  <si>
    <t>input[10:15][18:23]</t>
  </si>
  <si>
    <t>input[4][18]</t>
  </si>
  <si>
    <t>input[4][19]</t>
  </si>
  <si>
    <t>FV1[n][5][10]</t>
  </si>
  <si>
    <t>input[10:15][20:25]</t>
  </si>
  <si>
    <t>input[4][20]</t>
  </si>
  <si>
    <t>input[4][21]</t>
  </si>
  <si>
    <t>FV1[n][5][11]</t>
  </si>
  <si>
    <t>input[10:15][22:27]</t>
  </si>
  <si>
    <t>input[4][22]</t>
  </si>
  <si>
    <t>input[4][23]</t>
  </si>
  <si>
    <t>FV1[n][6][0]</t>
  </si>
  <si>
    <t>input[12:17][0:5]</t>
  </si>
  <si>
    <t>input[4][24]</t>
  </si>
  <si>
    <t>input[4][25]</t>
  </si>
  <si>
    <t>FV1[n][6][1]</t>
  </si>
  <si>
    <t>input[12:17][2:7]</t>
  </si>
  <si>
    <t>input[4][26]</t>
  </si>
  <si>
    <t>input[4][27]</t>
  </si>
  <si>
    <t>FV1[n][6][2]</t>
  </si>
  <si>
    <t>input[12:17][4:9]</t>
  </si>
  <si>
    <t>FV1[n][6][3]</t>
  </si>
  <si>
    <t>input[12:17][6:11]</t>
  </si>
  <si>
    <t>FV1[n][6][4]</t>
  </si>
  <si>
    <t>input[12:17][8:13]</t>
  </si>
  <si>
    <t>FV1[n][6][5]</t>
  </si>
  <si>
    <t>input[12:17][10:15]</t>
  </si>
  <si>
    <t>FV1[n][6][6]</t>
  </si>
  <si>
    <t>input[12:17][12:17]</t>
  </si>
  <si>
    <t>input[5][1]</t>
  </si>
  <si>
    <t>input[5][2]</t>
  </si>
  <si>
    <t>input[5][3]</t>
  </si>
  <si>
    <t>input[5][4]</t>
  </si>
  <si>
    <t>input[5][5]</t>
  </si>
  <si>
    <t>FV1[n][6][7]</t>
  </si>
  <si>
    <t>input[12:17][14:19]</t>
  </si>
  <si>
    <t>input[5][6]</t>
  </si>
  <si>
    <t>input[5][7]</t>
  </si>
  <si>
    <t>FV1[n][6][8]</t>
  </si>
  <si>
    <t>input[12:17][16:21]</t>
  </si>
  <si>
    <t>input[5][8]</t>
  </si>
  <si>
    <t>input[5][9]</t>
  </si>
  <si>
    <t>FV1[n][6][9]</t>
  </si>
  <si>
    <t>input[12:17][18:23]</t>
  </si>
  <si>
    <t>input[5][10]</t>
  </si>
  <si>
    <t>input[5][11]</t>
  </si>
  <si>
    <t>FV1[n][6][10]</t>
  </si>
  <si>
    <t>input[12:17][20:25]</t>
  </si>
  <si>
    <t>input[5][12]</t>
  </si>
  <si>
    <t>input[5][13]</t>
  </si>
  <si>
    <t>FV1[n][6][11]</t>
  </si>
  <si>
    <t>input[12:17][22:27]</t>
  </si>
  <si>
    <t>input[5][14]</t>
  </si>
  <si>
    <t>input[5][15]</t>
  </si>
  <si>
    <t>FV1[n][7][0]</t>
  </si>
  <si>
    <t>input[14:19][0:5]</t>
  </si>
  <si>
    <t>input[5][16]</t>
  </si>
  <si>
    <t>input[5][17]</t>
  </si>
  <si>
    <t>FV1[n][7][1]</t>
  </si>
  <si>
    <t>input[14:19][2:7]</t>
  </si>
  <si>
    <t>input[5][18]</t>
  </si>
  <si>
    <t>input[5][19]</t>
  </si>
  <si>
    <t>FV1[n][7][2]</t>
  </si>
  <si>
    <t>input[14:19][4:9]</t>
  </si>
  <si>
    <t>input[5][20]</t>
  </si>
  <si>
    <t>input[5][21]</t>
  </si>
  <si>
    <t>FV1[n][7][3]</t>
  </si>
  <si>
    <t>input[14:19][6:11]</t>
  </si>
  <si>
    <t>input[5][22]</t>
  </si>
  <si>
    <t>input[5][23]</t>
  </si>
  <si>
    <t>FV1[n][7][4]</t>
  </si>
  <si>
    <t>input[14:19][8:13]</t>
  </si>
  <si>
    <t>input[5][24]</t>
  </si>
  <si>
    <t>input[5][25]</t>
  </si>
  <si>
    <t>FV1[n][7][5]</t>
  </si>
  <si>
    <t>input[14:19][10:15]</t>
  </si>
  <si>
    <t>input[5][26]</t>
  </si>
  <si>
    <t>input[5][27]</t>
  </si>
  <si>
    <t>FV1[n][7][6]</t>
  </si>
  <si>
    <t>input[14:19][12:17]</t>
  </si>
  <si>
    <t>FV1[n][7][7]</t>
  </si>
  <si>
    <t>input[14:19][14:19]</t>
  </si>
  <si>
    <t>FV1[n][7][8]</t>
  </si>
  <si>
    <t>input[14:19][16:21]</t>
  </si>
  <si>
    <t>FV1[n][7][9]</t>
  </si>
  <si>
    <t>input[14:19][18:23]</t>
  </si>
  <si>
    <t>input[3][0]</t>
  </si>
  <si>
    <t>FV1[n][7][10]</t>
  </si>
  <si>
    <t>input[14:19][20:25]</t>
  </si>
  <si>
    <t>input[6][1]</t>
  </si>
  <si>
    <t>input[6][2]</t>
  </si>
  <si>
    <t>input[6][3]</t>
  </si>
  <si>
    <t>input[6][4]</t>
  </si>
  <si>
    <t>input[6][5]</t>
  </si>
  <si>
    <t>FV1[n][7][11]</t>
  </si>
  <si>
    <t>input[14:19][22:27]</t>
  </si>
  <si>
    <t>input[6][6]</t>
  </si>
  <si>
    <t>input[6][7]</t>
  </si>
  <si>
    <t>FV1[n][8][0]</t>
  </si>
  <si>
    <t>input[16:21][0:5]</t>
  </si>
  <si>
    <t>input[6][8]</t>
  </si>
  <si>
    <t>input[6][9]</t>
  </si>
  <si>
    <t>FV1[n][8][1]</t>
  </si>
  <si>
    <t>input[16:21][2:7]</t>
  </si>
  <si>
    <t>input[6][10]</t>
  </si>
  <si>
    <t>input[6][11]</t>
  </si>
  <si>
    <t>FV1[n][8][2]</t>
  </si>
  <si>
    <t>input[16:21][4:9]</t>
  </si>
  <si>
    <t>input[6][12]</t>
  </si>
  <si>
    <t>input[6][13]</t>
  </si>
  <si>
    <t>FV1[n][8][3]</t>
  </si>
  <si>
    <t>input[16:21][6:11]</t>
  </si>
  <si>
    <t>input[6][14]</t>
  </si>
  <si>
    <t>input[6][15]</t>
  </si>
  <si>
    <t>FV1[n][8][4]</t>
  </si>
  <si>
    <t>input[16:21][8:13]</t>
  </si>
  <si>
    <t>input[6][16]</t>
  </si>
  <si>
    <t>input[6][17]</t>
  </si>
  <si>
    <t>FV1[n][8][5]</t>
  </si>
  <si>
    <t>input[16:21][10:15]</t>
  </si>
  <si>
    <t>input[6][18]</t>
  </si>
  <si>
    <t>input[6][19]</t>
  </si>
  <si>
    <t>FV1[n][8][6]</t>
  </si>
  <si>
    <t>input[16:21][12:17]</t>
  </si>
  <si>
    <t>input[6][20]</t>
  </si>
  <si>
    <t>input[6][21]</t>
  </si>
  <si>
    <t>FV1[n][8][7]</t>
  </si>
  <si>
    <t>input[16:21][14:19]</t>
  </si>
  <si>
    <t>input[6][22]</t>
  </si>
  <si>
    <t>input[6][23]</t>
  </si>
  <si>
    <t>FV1[n][8][8]</t>
  </si>
  <si>
    <t>input[16:21][16:21]</t>
  </si>
  <si>
    <t>input[6][24]</t>
  </si>
  <si>
    <t>input[6][25]</t>
  </si>
  <si>
    <t>FV1[n][8][9]</t>
  </si>
  <si>
    <t>input[16:21][18:23]</t>
  </si>
  <si>
    <t>input[6][26]</t>
  </si>
  <si>
    <t>input[6][27]</t>
  </si>
  <si>
    <t>FV1[n][8][10]</t>
  </si>
  <si>
    <t>input[16:21][20:25]</t>
  </si>
  <si>
    <t>FV1[n][8][11]</t>
  </si>
  <si>
    <t>input[16:21][22:27]</t>
  </si>
  <si>
    <t>FV1[n][9][0]</t>
  </si>
  <si>
    <t>input[18:23][0:5]</t>
  </si>
  <si>
    <t>FV1[n][9][1]</t>
  </si>
  <si>
    <t>input[18:23][2:7]</t>
  </si>
  <si>
    <t>FV1[n][9][2]</t>
  </si>
  <si>
    <t>input[18:23][4:9]</t>
  </si>
  <si>
    <t>input[7][1]</t>
  </si>
  <si>
    <t>input[7][2]</t>
  </si>
  <si>
    <t>input[7][3]</t>
  </si>
  <si>
    <t>input[7][4]</t>
  </si>
  <si>
    <t>input[7][5]</t>
  </si>
  <si>
    <t>FV1[n][9][3]</t>
  </si>
  <si>
    <t>input[18:23][6:11]</t>
  </si>
  <si>
    <t>input[7][6]</t>
  </si>
  <si>
    <t>input[7][7]</t>
  </si>
  <si>
    <t>FV1[n][9][4]</t>
  </si>
  <si>
    <t>input[18:23][8:13]</t>
  </si>
  <si>
    <t>input[7][8]</t>
  </si>
  <si>
    <t>input[7][9]</t>
  </si>
  <si>
    <t>FV1[n][9][5]</t>
  </si>
  <si>
    <t>input[18:23][10:15]</t>
  </si>
  <si>
    <t>input[7][10]</t>
  </si>
  <si>
    <t>input[7][11]</t>
  </si>
  <si>
    <t>FV1[n][9][6]</t>
  </si>
  <si>
    <t>input[18:23][12:17]</t>
  </si>
  <si>
    <t>input[7][12]</t>
  </si>
  <si>
    <t>input[7][13]</t>
  </si>
  <si>
    <t>FV1[n][9][7]</t>
  </si>
  <si>
    <t>input[18:23][14:19]</t>
  </si>
  <si>
    <t>input[7][14]</t>
  </si>
  <si>
    <t>input[7][15]</t>
  </si>
  <si>
    <t>FV1[n][9][8]</t>
  </si>
  <si>
    <t>input[18:23][16:21]</t>
  </si>
  <si>
    <t>input[7][16]</t>
  </si>
  <si>
    <t>input[7][17]</t>
  </si>
  <si>
    <t>FV1[n][9][9]</t>
  </si>
  <si>
    <t>input[18:23][18:23]</t>
  </si>
  <si>
    <t>input[7][18]</t>
  </si>
  <si>
    <t>input[7][19]</t>
  </si>
  <si>
    <t>FV1[n][9][10]</t>
  </si>
  <si>
    <t>input[18:23][20:25]</t>
  </si>
  <si>
    <t>input[7][20]</t>
  </si>
  <si>
    <t>input[7][21]</t>
  </si>
  <si>
    <t>FV1[n][9][11]</t>
  </si>
  <si>
    <t>input[18:23][22:27]</t>
  </si>
  <si>
    <t>input[7][22]</t>
  </si>
  <si>
    <t>input[7][23]</t>
  </si>
  <si>
    <t>FV1[n][10][0]</t>
  </si>
  <si>
    <t>input[20:25][0:5]</t>
  </si>
  <si>
    <t>input[7][24]</t>
  </si>
  <si>
    <t>input[7][25]</t>
  </si>
  <si>
    <t>FV1[n][10][1]</t>
  </si>
  <si>
    <t>input[20:25][2:7]</t>
  </si>
  <si>
    <t>input[7][26]</t>
  </si>
  <si>
    <t>input[7][27]</t>
  </si>
  <si>
    <t>FV1[n][10][2]</t>
  </si>
  <si>
    <t>input[20:25][4:9]</t>
  </si>
  <si>
    <t>FV1[n][10][3]</t>
  </si>
  <si>
    <t>input[20:25][6:11]</t>
  </si>
  <si>
    <t>FV1[n][10][4]</t>
  </si>
  <si>
    <t>input[20:25][8:13]</t>
  </si>
  <si>
    <t>FV1[n][10][5]</t>
  </si>
  <si>
    <t>input[20:25][10:15]</t>
  </si>
  <si>
    <t>input[4][0]</t>
  </si>
  <si>
    <t>FV1[n][10][6]</t>
  </si>
  <si>
    <t>input[20:25][12:17]</t>
  </si>
  <si>
    <t>input[8][1]</t>
  </si>
  <si>
    <t>input[8][2]</t>
  </si>
  <si>
    <t>input[8][3]</t>
  </si>
  <si>
    <t>input[8][4]</t>
  </si>
  <si>
    <t>input[8][5]</t>
  </si>
  <si>
    <t>FV1[n][10][7]</t>
  </si>
  <si>
    <t>input[20:25][14:19]</t>
  </si>
  <si>
    <t>input[8][6]</t>
  </si>
  <si>
    <t>input[8][7]</t>
  </si>
  <si>
    <t>FV1[n][10][8]</t>
  </si>
  <si>
    <t>input[20:25][16:21]</t>
  </si>
  <si>
    <t>input[8][8]</t>
  </si>
  <si>
    <t>input[8][9]</t>
  </si>
  <si>
    <t>FV1[n][10][9]</t>
  </si>
  <si>
    <t>input[20:25][18:23]</t>
  </si>
  <si>
    <t>input[8][10]</t>
  </si>
  <si>
    <t>input[8][11]</t>
  </si>
  <si>
    <t>FV1[n][10][10]</t>
  </si>
  <si>
    <t>input[20:25][20:25]</t>
  </si>
  <si>
    <t>input[8][12]</t>
  </si>
  <si>
    <t>input[8][13]</t>
  </si>
  <si>
    <t>FV1[n][10][11]</t>
  </si>
  <si>
    <t>input[20:25][22:27]</t>
  </si>
  <si>
    <t>input[8][14]</t>
  </si>
  <si>
    <t>input[8][15]</t>
  </si>
  <si>
    <t>FV1[n][11][0]</t>
  </si>
  <si>
    <t>input[22:27][0:5]</t>
  </si>
  <si>
    <t>input[8][16]</t>
  </si>
  <si>
    <t>input[8][17]</t>
  </si>
  <si>
    <t>FV1[n][11][1]</t>
  </si>
  <si>
    <t>input[22:27][2:7]</t>
  </si>
  <si>
    <t>input[8][18]</t>
  </si>
  <si>
    <t>input[8][19]</t>
  </si>
  <si>
    <t>FV1[n][11][2]</t>
  </si>
  <si>
    <t>input[22:27][4:9]</t>
  </si>
  <si>
    <t>input[8][20]</t>
  </si>
  <si>
    <t>input[8][21]</t>
  </si>
  <si>
    <t>FV1[n][11][3]</t>
  </si>
  <si>
    <t>input[22:27][6:11]</t>
  </si>
  <si>
    <t>input[8][22]</t>
  </si>
  <si>
    <t>input[8][23]</t>
  </si>
  <si>
    <t>FV1[n][11][4]</t>
  </si>
  <si>
    <t>input[22:27][8:13]</t>
  </si>
  <si>
    <t>input[8][24]</t>
  </si>
  <si>
    <t>input[8][25]</t>
  </si>
  <si>
    <t>FV1[n][11][5]</t>
  </si>
  <si>
    <t>input[22:27][10:15]</t>
  </si>
  <si>
    <t>input[8][26]</t>
  </si>
  <si>
    <t>input[8][27]</t>
  </si>
  <si>
    <t>FV1[n][11][6]</t>
  </si>
  <si>
    <t>input[22:27][12:17]</t>
  </si>
  <si>
    <t>FV1[n][11][7]</t>
  </si>
  <si>
    <t>input[22:27][14:19]</t>
  </si>
  <si>
    <t>FV1[n][11][8]</t>
  </si>
  <si>
    <t>input[22:27][16:21]</t>
  </si>
  <si>
    <t>FV1[n][11][9]</t>
  </si>
  <si>
    <t>input[22:27][18:23]</t>
  </si>
  <si>
    <t>FV1[n][11][10]</t>
  </si>
  <si>
    <t>input[22:27][20:25]</t>
  </si>
  <si>
    <t>input[9][1]</t>
  </si>
  <si>
    <t>input[9][2]</t>
  </si>
  <si>
    <t>input[9][3]</t>
  </si>
  <si>
    <t>input[9][4]</t>
  </si>
  <si>
    <t>input[9][5]</t>
  </si>
  <si>
    <t>FV1[n][11][11]</t>
  </si>
  <si>
    <t>input[22:27][22:27]</t>
  </si>
  <si>
    <t>input[9][6]</t>
  </si>
  <si>
    <t>input[9][7]</t>
  </si>
  <si>
    <t>input[9][8]</t>
  </si>
  <si>
    <t>input[9][9]</t>
  </si>
  <si>
    <t>input[9][10]</t>
  </si>
  <si>
    <t>input[9][11]</t>
  </si>
  <si>
    <t>input[9][12]</t>
  </si>
  <si>
    <t>input[9][13]</t>
  </si>
  <si>
    <t>input[9][14]</t>
  </si>
  <si>
    <t>input[9][15]</t>
  </si>
  <si>
    <t>input[9][16]</t>
  </si>
  <si>
    <t>input[9][17]</t>
  </si>
  <si>
    <t>input[9][18]</t>
  </si>
  <si>
    <t>input[9][19]</t>
  </si>
  <si>
    <t>input[9][20]</t>
  </si>
  <si>
    <t>input[9][21]</t>
  </si>
  <si>
    <t>input[9][22]</t>
  </si>
  <si>
    <t>input[9][23]</t>
  </si>
  <si>
    <t>input[9][24]</t>
  </si>
  <si>
    <t>input[9][25]</t>
  </si>
  <si>
    <t>input[9][26]</t>
  </si>
  <si>
    <t>input[9][27]</t>
  </si>
  <si>
    <t>input[5][0]</t>
  </si>
  <si>
    <t>input[10][1]</t>
  </si>
  <si>
    <t>input[10][2]</t>
  </si>
  <si>
    <t>input[10][3]</t>
  </si>
  <si>
    <t>input[10][4]</t>
  </si>
  <si>
    <t>input[10][5]</t>
  </si>
  <si>
    <t>input[10][6]</t>
  </si>
  <si>
    <t>input[10][7]</t>
  </si>
  <si>
    <t>input[10][8]</t>
  </si>
  <si>
    <t>input[10][9]</t>
  </si>
  <si>
    <t>input[10][10]</t>
  </si>
  <si>
    <t>input[10][11]</t>
  </si>
  <si>
    <t>input[10][12]</t>
  </si>
  <si>
    <t>input[10][13]</t>
  </si>
  <si>
    <t>input[10][14]</t>
  </si>
  <si>
    <t>input[10][15]</t>
  </si>
  <si>
    <t>input[10][16]</t>
  </si>
  <si>
    <t>input[10][17]</t>
  </si>
  <si>
    <t>input[10][18]</t>
  </si>
  <si>
    <t>input[10][19]</t>
  </si>
  <si>
    <t>input[10][20]</t>
  </si>
  <si>
    <t>input[10][21]</t>
  </si>
  <si>
    <t>input[10][22]</t>
  </si>
  <si>
    <t>input[10][23]</t>
  </si>
  <si>
    <t>input[10][24]</t>
  </si>
  <si>
    <t>input[10][25]</t>
  </si>
  <si>
    <t>input[10][26]</t>
  </si>
  <si>
    <t>input[10][27]</t>
  </si>
  <si>
    <t>input[11][1]</t>
  </si>
  <si>
    <t>input[11][2]</t>
  </si>
  <si>
    <t>input[11][3]</t>
  </si>
  <si>
    <t>input[11][4]</t>
  </si>
  <si>
    <t>input[11][5]</t>
  </si>
  <si>
    <t>input[11][6]</t>
  </si>
  <si>
    <t>input[11][7]</t>
  </si>
  <si>
    <t>input[11][8]</t>
  </si>
  <si>
    <t>input[11][9]</t>
  </si>
  <si>
    <t>input[11][10]</t>
  </si>
  <si>
    <t>input[11][11]</t>
  </si>
  <si>
    <t>input[11][12]</t>
  </si>
  <si>
    <t>input[11][13]</t>
  </si>
  <si>
    <t>input[11][14]</t>
  </si>
  <si>
    <t>input[11][15]</t>
  </si>
  <si>
    <t>input[11][16]</t>
  </si>
  <si>
    <t>input[11][17]</t>
  </si>
  <si>
    <t>input[11][18]</t>
  </si>
  <si>
    <t>input[11][19]</t>
  </si>
  <si>
    <t>input[11][20]</t>
  </si>
  <si>
    <t>input[11][21]</t>
  </si>
  <si>
    <t>input[11][22]</t>
  </si>
  <si>
    <t>input[11][23]</t>
  </si>
  <si>
    <t>input[11][24]</t>
  </si>
  <si>
    <t>input[11][25]</t>
  </si>
  <si>
    <t>input[11][26]</t>
  </si>
  <si>
    <t>input[11][27]</t>
  </si>
  <si>
    <t>input[6][0]</t>
  </si>
  <si>
    <t>input[12][1]</t>
  </si>
  <si>
    <t>input[12][2]</t>
  </si>
  <si>
    <t>input[12][3]</t>
  </si>
  <si>
    <t>input[12][4]</t>
  </si>
  <si>
    <t>input[12][5]</t>
  </si>
  <si>
    <t>input[12][6]</t>
  </si>
  <si>
    <t>input[12][7]</t>
  </si>
  <si>
    <t>input[12][8]</t>
  </si>
  <si>
    <t>input[12][9]</t>
  </si>
  <si>
    <t>input[12][10]</t>
  </si>
  <si>
    <t>input[12][11]</t>
  </si>
  <si>
    <t>input[12][12]</t>
  </si>
  <si>
    <t>input[12][13]</t>
  </si>
  <si>
    <t>input[12][14]</t>
  </si>
  <si>
    <t>input[12][15]</t>
  </si>
  <si>
    <t>input[12][16]</t>
  </si>
  <si>
    <t>input[12][17]</t>
  </si>
  <si>
    <t>input[12][18]</t>
  </si>
  <si>
    <t>input[12][19]</t>
  </si>
  <si>
    <t>input[12][20]</t>
  </si>
  <si>
    <t>input[12][21]</t>
  </si>
  <si>
    <t>input[12][22]</t>
  </si>
  <si>
    <t>input[12][23]</t>
  </si>
  <si>
    <t>input[12][24]</t>
  </si>
  <si>
    <t>input[12][25]</t>
  </si>
  <si>
    <t>input[12][26]</t>
  </si>
  <si>
    <t>input[12][27]</t>
  </si>
  <si>
    <t>input[13][1]</t>
  </si>
  <si>
    <t>input[13][2]</t>
  </si>
  <si>
    <t>input[13][3]</t>
  </si>
  <si>
    <t>input[13][4]</t>
  </si>
  <si>
    <t>input[13][5]</t>
  </si>
  <si>
    <t>input[13][6]</t>
  </si>
  <si>
    <t>input[13][7]</t>
  </si>
  <si>
    <t>input[13][8]</t>
  </si>
  <si>
    <t>input[13][9]</t>
  </si>
  <si>
    <t>input[13][10]</t>
  </si>
  <si>
    <t>input[13][11]</t>
  </si>
  <si>
    <t>input[13][12]</t>
  </si>
  <si>
    <t>input[13][13]</t>
  </si>
  <si>
    <t>input[13][14]</t>
  </si>
  <si>
    <t>input[13][15]</t>
  </si>
  <si>
    <t>input[13][16]</t>
  </si>
  <si>
    <t>input[13][17]</t>
  </si>
  <si>
    <t>input[13][18]</t>
  </si>
  <si>
    <t>input[13][19]</t>
  </si>
  <si>
    <t>input[13][20]</t>
  </si>
  <si>
    <t>input[13][21]</t>
  </si>
  <si>
    <t>input[13][22]</t>
  </si>
  <si>
    <t>input[13][23]</t>
  </si>
  <si>
    <t>input[13][24]</t>
  </si>
  <si>
    <t>input[13][25]</t>
  </si>
  <si>
    <t>input[13][26]</t>
  </si>
  <si>
    <t>input[13][27]</t>
  </si>
  <si>
    <t>input[7][0]</t>
  </si>
  <si>
    <t>input[14][1]</t>
  </si>
  <si>
    <t>input[14][2]</t>
  </si>
  <si>
    <t>input[14][3]</t>
  </si>
  <si>
    <t>input[14][4]</t>
  </si>
  <si>
    <t>input[14][5]</t>
  </si>
  <si>
    <t>input[14][6]</t>
  </si>
  <si>
    <t>input[14][7]</t>
  </si>
  <si>
    <t>input[14][8]</t>
  </si>
  <si>
    <t>input[14][9]</t>
  </si>
  <si>
    <t>input[14][10]</t>
  </si>
  <si>
    <t>input[14][11]</t>
  </si>
  <si>
    <t>input[14][12]</t>
  </si>
  <si>
    <t>input[14][13]</t>
  </si>
  <si>
    <t>input[14][14]</t>
  </si>
  <si>
    <t>input[14][15]</t>
  </si>
  <si>
    <t>input[14][16]</t>
  </si>
  <si>
    <t>input[14][17]</t>
  </si>
  <si>
    <t>input[14][18]</t>
  </si>
  <si>
    <t>input[14][19]</t>
  </si>
  <si>
    <t>input[14][20]</t>
  </si>
  <si>
    <t>input[14][21]</t>
  </si>
  <si>
    <t>input[14][22]</t>
  </si>
  <si>
    <t>input[14][23]</t>
  </si>
  <si>
    <t>input[14][24]</t>
  </si>
  <si>
    <t>input[14][25]</t>
  </si>
  <si>
    <t>input[14][26]</t>
  </si>
  <si>
    <t>input[14][27]</t>
  </si>
  <si>
    <t>input[15][1]</t>
  </si>
  <si>
    <t>input[15][2]</t>
  </si>
  <si>
    <t>input[15][3]</t>
  </si>
  <si>
    <t>input[15][4]</t>
  </si>
  <si>
    <t>input[15][5]</t>
  </si>
  <si>
    <t>input[15][6]</t>
  </si>
  <si>
    <t>input[15][7]</t>
  </si>
  <si>
    <t>input[15][8]</t>
  </si>
  <si>
    <t>input[15][9]</t>
  </si>
  <si>
    <t>input[15][10]</t>
  </si>
  <si>
    <t>input[15][11]</t>
  </si>
  <si>
    <t>input[15][12]</t>
  </si>
  <si>
    <t>input[15][13]</t>
  </si>
  <si>
    <t>input[15][14]</t>
  </si>
  <si>
    <t>input[15][15]</t>
  </si>
  <si>
    <t>input[15][16]</t>
  </si>
  <si>
    <t>input[15][17]</t>
  </si>
  <si>
    <t>input[15][18]</t>
  </si>
  <si>
    <t>input[15][19]</t>
  </si>
  <si>
    <t>input[15][20]</t>
  </si>
  <si>
    <t>input[15][21]</t>
  </si>
  <si>
    <t>input[15][22]</t>
  </si>
  <si>
    <t>input[15][23]</t>
  </si>
  <si>
    <t>input[15][24]</t>
  </si>
  <si>
    <t>input[15][25]</t>
  </si>
  <si>
    <t>input[15][26]</t>
  </si>
  <si>
    <t>input[15][27]</t>
  </si>
  <si>
    <t>input[8][0]</t>
  </si>
  <si>
    <t>input[16][1]</t>
  </si>
  <si>
    <t>input[16][2]</t>
  </si>
  <si>
    <t>input[16][3]</t>
  </si>
  <si>
    <t>input[16][4]</t>
  </si>
  <si>
    <t>input[16][5]</t>
  </si>
  <si>
    <t>input[16][6]</t>
  </si>
  <si>
    <t>input[16][7]</t>
  </si>
  <si>
    <t>input[16][8]</t>
  </si>
  <si>
    <t>input[16][9]</t>
  </si>
  <si>
    <t>input[16][10]</t>
  </si>
  <si>
    <t>input[16][11]</t>
  </si>
  <si>
    <t>input[16][12]</t>
  </si>
  <si>
    <t>input[16][13]</t>
  </si>
  <si>
    <t>input[16][14]</t>
  </si>
  <si>
    <t>input[16][15]</t>
  </si>
  <si>
    <t>input[16][16]</t>
  </si>
  <si>
    <t>input[16][17]</t>
  </si>
  <si>
    <t>input[16][18]</t>
  </si>
  <si>
    <t>input[16][19]</t>
  </si>
  <si>
    <t>input[16][20]</t>
  </si>
  <si>
    <t>input[16][21]</t>
  </si>
  <si>
    <t>input[16][22]</t>
  </si>
  <si>
    <t>input[16][23]</t>
  </si>
  <si>
    <t>input[16][24]</t>
  </si>
  <si>
    <t>input[16][25]</t>
  </si>
  <si>
    <t>input[16][26]</t>
  </si>
  <si>
    <t>input[16][27]</t>
  </si>
  <si>
    <t>input[17][1]</t>
  </si>
  <si>
    <t>input[17][2]</t>
  </si>
  <si>
    <t>input[17][3]</t>
  </si>
  <si>
    <t>input[17][4]</t>
  </si>
  <si>
    <t>input[17][5]</t>
  </si>
  <si>
    <t>input[17][6]</t>
  </si>
  <si>
    <t>input[17][7]</t>
  </si>
  <si>
    <t>input[17][8]</t>
  </si>
  <si>
    <t>input[17][9]</t>
  </si>
  <si>
    <t>input[17][10]</t>
  </si>
  <si>
    <t>input[17][11]</t>
  </si>
  <si>
    <t>input[17][12]</t>
  </si>
  <si>
    <t>input[17][13]</t>
  </si>
  <si>
    <t>input[17][14]</t>
  </si>
  <si>
    <t>input[17][15]</t>
  </si>
  <si>
    <t>input[17][16]</t>
  </si>
  <si>
    <t>input[17][17]</t>
  </si>
  <si>
    <t>input[17][18]</t>
  </si>
  <si>
    <t>input[17][19]</t>
  </si>
  <si>
    <t>input[17][20]</t>
  </si>
  <si>
    <t>input[17][21]</t>
  </si>
  <si>
    <t>input[17][22]</t>
  </si>
  <si>
    <t>input[17][23]</t>
  </si>
  <si>
    <t>input[17][24]</t>
  </si>
  <si>
    <t>input[17][25]</t>
  </si>
  <si>
    <t>input[17][26]</t>
  </si>
  <si>
    <t>input[17][27]</t>
  </si>
  <si>
    <t>input[9][0]</t>
  </si>
  <si>
    <t>input[18][1]</t>
  </si>
  <si>
    <t>input[18][2]</t>
  </si>
  <si>
    <t>input[18][3]</t>
  </si>
  <si>
    <t>input[18][4]</t>
  </si>
  <si>
    <t>input[18][5]</t>
  </si>
  <si>
    <t>input[18][6]</t>
  </si>
  <si>
    <t>input[18][7]</t>
  </si>
  <si>
    <t>input[18][8]</t>
  </si>
  <si>
    <t>input[18][9]</t>
  </si>
  <si>
    <t>input[18][10]</t>
  </si>
  <si>
    <t>input[18][11]</t>
  </si>
  <si>
    <t>input[18][12]</t>
  </si>
  <si>
    <t>input[18][13]</t>
  </si>
  <si>
    <t>input[18][14]</t>
  </si>
  <si>
    <t>input[18][15]</t>
  </si>
  <si>
    <t>input[18][16]</t>
  </si>
  <si>
    <t>input[18][17]</t>
  </si>
  <si>
    <t>input[18][18]</t>
  </si>
  <si>
    <t>input[18][19]</t>
  </si>
  <si>
    <t>input[18][20]</t>
  </si>
  <si>
    <t>input[18][21]</t>
  </si>
  <si>
    <t>input[18][22]</t>
  </si>
  <si>
    <t>input[18][23]</t>
  </si>
  <si>
    <t>input[18][24]</t>
  </si>
  <si>
    <t>input[18][25]</t>
  </si>
  <si>
    <t>input[18][26]</t>
  </si>
  <si>
    <t>input[18][27]</t>
  </si>
  <si>
    <t>input[19][1]</t>
  </si>
  <si>
    <t>input[19][2]</t>
  </si>
  <si>
    <t>input[19][3]</t>
  </si>
  <si>
    <t>input[19][4]</t>
  </si>
  <si>
    <t>input[19][5]</t>
  </si>
  <si>
    <t>input[19][6]</t>
  </si>
  <si>
    <t>input[19][7]</t>
  </si>
  <si>
    <t>input[19][8]</t>
  </si>
  <si>
    <t>input[19][9]</t>
  </si>
  <si>
    <t>input[19][10]</t>
  </si>
  <si>
    <t>input[19][11]</t>
  </si>
  <si>
    <t>input[19][12]</t>
  </si>
  <si>
    <t>input[19][13]</t>
  </si>
  <si>
    <t>input[19][14]</t>
  </si>
  <si>
    <t>input[19][15]</t>
  </si>
  <si>
    <t>input[19][16]</t>
  </si>
  <si>
    <t>input[19][17]</t>
  </si>
  <si>
    <t>input[19][18]</t>
  </si>
  <si>
    <t>input[19][19]</t>
  </si>
  <si>
    <t>input[19][20]</t>
  </si>
  <si>
    <t>input[19][21]</t>
  </si>
  <si>
    <t>input[19][22]</t>
  </si>
  <si>
    <t>input[19][23]</t>
  </si>
  <si>
    <t>input[19][24]</t>
  </si>
  <si>
    <t>input[19][25]</t>
  </si>
  <si>
    <t>input[19][26]</t>
  </si>
  <si>
    <t>input[19][27]</t>
  </si>
  <si>
    <t>input[10][0]</t>
  </si>
  <si>
    <t>input[20][1]</t>
  </si>
  <si>
    <t>input[20][2]</t>
  </si>
  <si>
    <t>input[20][3]</t>
  </si>
  <si>
    <t>input[20][4]</t>
  </si>
  <si>
    <t>input[20][5]</t>
  </si>
  <si>
    <t>input[20][6]</t>
  </si>
  <si>
    <t>input[20][7]</t>
  </si>
  <si>
    <t>input[20][8]</t>
  </si>
  <si>
    <t>input[20][9]</t>
  </si>
  <si>
    <t>input[20][10]</t>
  </si>
  <si>
    <t>input[20][11]</t>
  </si>
  <si>
    <t>input[20][12]</t>
  </si>
  <si>
    <t>input[20][13]</t>
  </si>
  <si>
    <t>input[20][14]</t>
  </si>
  <si>
    <t>input[20][15]</t>
  </si>
  <si>
    <t>input[20][16]</t>
  </si>
  <si>
    <t>input[20][17]</t>
  </si>
  <si>
    <t>input[20][18]</t>
  </si>
  <si>
    <t>input[20][19]</t>
  </si>
  <si>
    <t>input[20][20]</t>
  </si>
  <si>
    <t>input[20][21]</t>
  </si>
  <si>
    <t>input[20][22]</t>
  </si>
  <si>
    <t>input[20][23]</t>
  </si>
  <si>
    <t>input[20][24]</t>
  </si>
  <si>
    <t>input[20][25]</t>
  </si>
  <si>
    <t>input[20][26]</t>
  </si>
  <si>
    <t>input[20][27]</t>
  </si>
  <si>
    <t>input[21][1]</t>
  </si>
  <si>
    <t>input[21][2]</t>
  </si>
  <si>
    <t>input[21][3]</t>
  </si>
  <si>
    <t>input[21][4]</t>
  </si>
  <si>
    <t>input[21][5]</t>
  </si>
  <si>
    <t>input[21][6]</t>
  </si>
  <si>
    <t>input[21][7]</t>
  </si>
  <si>
    <t>input[21][8]</t>
  </si>
  <si>
    <t>input[21][9]</t>
  </si>
  <si>
    <t>input[21][10]</t>
  </si>
  <si>
    <t>input[21][11]</t>
  </si>
  <si>
    <t>input[21][12]</t>
  </si>
  <si>
    <t>input[21][13]</t>
  </si>
  <si>
    <t>input[21][14]</t>
  </si>
  <si>
    <t>input[21][15]</t>
  </si>
  <si>
    <t>input[21][16]</t>
  </si>
  <si>
    <t>input[21][17]</t>
  </si>
  <si>
    <t>input[21][18]</t>
  </si>
  <si>
    <t>input[21][19]</t>
  </si>
  <si>
    <t>input[21][20]</t>
  </si>
  <si>
    <t>input[21][21]</t>
  </si>
  <si>
    <t>input[21][22]</t>
  </si>
  <si>
    <t>input[21][23]</t>
  </si>
  <si>
    <t>input[21][24]</t>
  </si>
  <si>
    <t>input[21][25]</t>
  </si>
  <si>
    <t>input[21][26]</t>
  </si>
  <si>
    <t>input[21][27]</t>
  </si>
  <si>
    <t>input[11][0]</t>
  </si>
  <si>
    <t>input[22][1]</t>
  </si>
  <si>
    <t>input[22][2]</t>
  </si>
  <si>
    <t>input[22][3]</t>
  </si>
  <si>
    <t>input[22][4]</t>
  </si>
  <si>
    <t>input[22][5]</t>
  </si>
  <si>
    <t>input[22][6]</t>
  </si>
  <si>
    <t>input[22][7]</t>
  </si>
  <si>
    <t>input[22][8]</t>
  </si>
  <si>
    <t>input[22][9]</t>
  </si>
  <si>
    <t>input[22][10]</t>
  </si>
  <si>
    <t>input[22][11]</t>
  </si>
  <si>
    <t>input[22][12]</t>
  </si>
  <si>
    <t>input[22][13]</t>
  </si>
  <si>
    <t>input[22][14]</t>
  </si>
  <si>
    <t>input[22][15]</t>
  </si>
  <si>
    <t>input[22][16]</t>
  </si>
  <si>
    <t>input[22][17]</t>
  </si>
  <si>
    <t>input[22][18]</t>
  </si>
  <si>
    <t>input[22][19]</t>
  </si>
  <si>
    <t>input[22][20]</t>
  </si>
  <si>
    <t>input[22][21]</t>
  </si>
  <si>
    <t>input[22][22]</t>
  </si>
  <si>
    <t>input[22][23]</t>
  </si>
  <si>
    <t>input[22][24]</t>
  </si>
  <si>
    <t>input[22][25]</t>
  </si>
  <si>
    <t>input[22][26]</t>
  </si>
  <si>
    <t>input[22][27]</t>
  </si>
  <si>
    <t>input[23][1]</t>
  </si>
  <si>
    <t>input[23][2]</t>
  </si>
  <si>
    <t>input[23][3]</t>
  </si>
  <si>
    <t>input[23][4]</t>
  </si>
  <si>
    <t>input[23][5]</t>
  </si>
  <si>
    <t>input[23][6]</t>
  </si>
  <si>
    <t>input[23][7]</t>
  </si>
  <si>
    <t>input[23][8]</t>
  </si>
  <si>
    <t>input[23][9]</t>
  </si>
  <si>
    <t>input[23][10]</t>
  </si>
  <si>
    <t>input[23][11]</t>
  </si>
  <si>
    <t>input[23][12]</t>
  </si>
  <si>
    <t>input[23][13]</t>
  </si>
  <si>
    <t>input[23][14]</t>
  </si>
  <si>
    <t>input[23][15]</t>
  </si>
  <si>
    <t>input[23][16]</t>
  </si>
  <si>
    <t>input[23][17]</t>
  </si>
  <si>
    <t>input[23][18]</t>
  </si>
  <si>
    <t>input[23][19]</t>
  </si>
  <si>
    <t>input[23][20]</t>
  </si>
  <si>
    <t>input[23][21]</t>
  </si>
  <si>
    <t>input[23][22]</t>
  </si>
  <si>
    <t>input[23][23]</t>
  </si>
  <si>
    <t>input[23][24]</t>
  </si>
  <si>
    <t>input[23][25]</t>
  </si>
  <si>
    <t>input[23][26]</t>
  </si>
  <si>
    <t>input[23][27]</t>
  </si>
  <si>
    <t>input[12][0]</t>
  </si>
  <si>
    <t>input[24][1]</t>
  </si>
  <si>
    <t>input[24][2]</t>
  </si>
  <si>
    <t>input[24][3]</t>
  </si>
  <si>
    <t>input[24][4]</t>
  </si>
  <si>
    <t>input[24][5]</t>
  </si>
  <si>
    <t>input[24][6]</t>
  </si>
  <si>
    <t>input[24][7]</t>
  </si>
  <si>
    <t>input[24][8]</t>
  </si>
  <si>
    <t>input[24][9]</t>
  </si>
  <si>
    <t>input[24][10]</t>
  </si>
  <si>
    <t>input[24][11]</t>
  </si>
  <si>
    <t>input[24][12]</t>
  </si>
  <si>
    <t>input[24][13]</t>
  </si>
  <si>
    <t>input[24][14]</t>
  </si>
  <si>
    <t>input[24][15]</t>
  </si>
  <si>
    <t>input[24][16]</t>
  </si>
  <si>
    <t>input[24][17]</t>
  </si>
  <si>
    <t>input[24][18]</t>
  </si>
  <si>
    <t>input[24][19]</t>
  </si>
  <si>
    <t>input[24][20]</t>
  </si>
  <si>
    <t>input[24][21]</t>
  </si>
  <si>
    <t>input[24][22]</t>
  </si>
  <si>
    <t>input[24][23]</t>
  </si>
  <si>
    <t>input[24][24]</t>
  </si>
  <si>
    <t>input[24][25]</t>
  </si>
  <si>
    <t>input[24][26]</t>
  </si>
  <si>
    <t>input[24][27]</t>
  </si>
  <si>
    <t>input[25][1]</t>
  </si>
  <si>
    <t>input[25][2]</t>
  </si>
  <si>
    <t>input[25][3]</t>
  </si>
  <si>
    <t>input[25][4]</t>
  </si>
  <si>
    <t>input[25][5]</t>
  </si>
  <si>
    <t>input[25][6]</t>
  </si>
  <si>
    <t>input[25][7]</t>
  </si>
  <si>
    <t>input[25][8]</t>
  </si>
  <si>
    <t>input[25][9]</t>
  </si>
  <si>
    <t>input[25][10]</t>
  </si>
  <si>
    <t>input[25][11]</t>
  </si>
  <si>
    <t>input[25][12]</t>
  </si>
  <si>
    <t>input[25][13]</t>
  </si>
  <si>
    <t>input[25][14]</t>
  </si>
  <si>
    <t>input[25][15]</t>
  </si>
  <si>
    <t>input[25][16]</t>
  </si>
  <si>
    <t>input[25][17]</t>
  </si>
  <si>
    <t>input[25][18]</t>
  </si>
  <si>
    <t>input[25][19]</t>
  </si>
  <si>
    <t>input[25][20]</t>
  </si>
  <si>
    <t>input[25][21]</t>
  </si>
  <si>
    <t>input[25][22]</t>
  </si>
  <si>
    <t>input[25][23]</t>
  </si>
  <si>
    <t>input[25][24]</t>
  </si>
  <si>
    <t>input[25][25]</t>
  </si>
  <si>
    <t>input[25][26]</t>
  </si>
  <si>
    <t>input[25][27]</t>
  </si>
  <si>
    <t>input[13][0]</t>
  </si>
  <si>
    <t>input[26][1]</t>
  </si>
  <si>
    <t>input[26][2]</t>
  </si>
  <si>
    <t>input[26][3]</t>
  </si>
  <si>
    <t>input[26][4]</t>
  </si>
  <si>
    <t>input[26][5]</t>
  </si>
  <si>
    <t>input[26][6]</t>
  </si>
  <si>
    <t>input[26][7]</t>
  </si>
  <si>
    <t>input[26][8]</t>
  </si>
  <si>
    <t>input[26][9]</t>
  </si>
  <si>
    <t>input[26][10]</t>
  </si>
  <si>
    <t>input[26][11]</t>
  </si>
  <si>
    <t>input[26][12]</t>
  </si>
  <si>
    <t>input[26][13]</t>
  </si>
  <si>
    <t>input[26][14]</t>
  </si>
  <si>
    <t>input[26][15]</t>
  </si>
  <si>
    <t>input[26][16]</t>
  </si>
  <si>
    <t>input[26][17]</t>
  </si>
  <si>
    <t>input[26][18]</t>
  </si>
  <si>
    <t>input[26][19]</t>
  </si>
  <si>
    <t>input[26][20]</t>
  </si>
  <si>
    <t>input[26][21]</t>
  </si>
  <si>
    <t>input[26][22]</t>
  </si>
  <si>
    <t>input[26][23]</t>
  </si>
  <si>
    <t>input[26][24]</t>
  </si>
  <si>
    <t>input[26][25]</t>
  </si>
  <si>
    <t>input[26][26]</t>
  </si>
  <si>
    <t>input[26][27]</t>
  </si>
  <si>
    <t>input[27][1]</t>
  </si>
  <si>
    <t>input[27][2]</t>
  </si>
  <si>
    <t>input[27][3]</t>
  </si>
  <si>
    <t>input[27][4]</t>
  </si>
  <si>
    <t>input[27][5]</t>
  </si>
  <si>
    <t>input[27][6]</t>
  </si>
  <si>
    <t>input[27][7]</t>
  </si>
  <si>
    <t>input[27][8]</t>
  </si>
  <si>
    <t>input[27][9]</t>
  </si>
  <si>
    <t>input[27][10]</t>
  </si>
  <si>
    <t>input[27][11]</t>
  </si>
  <si>
    <t>input[27][12]</t>
  </si>
  <si>
    <t>input[27][13]</t>
  </si>
  <si>
    <t>input[27][14]</t>
  </si>
  <si>
    <t>input[27][15]</t>
  </si>
  <si>
    <t>input[27][16]</t>
  </si>
  <si>
    <t>input[27][17]</t>
  </si>
  <si>
    <t>input[27][18]</t>
  </si>
  <si>
    <t>input[27][19]</t>
  </si>
  <si>
    <t>input[27][20]</t>
  </si>
  <si>
    <t>input[27][21]</t>
  </si>
  <si>
    <t>input[27][22]</t>
  </si>
  <si>
    <t>input[27][23]</t>
  </si>
  <si>
    <t>input[27][24]</t>
  </si>
  <si>
    <t>input[27][25]</t>
  </si>
  <si>
    <t>input[27][26]</t>
  </si>
  <si>
    <t>input[27][27]</t>
  </si>
  <si>
    <t>input[14][0]</t>
  </si>
  <si>
    <t>input[15][0]</t>
  </si>
  <si>
    <t>input[16][0]</t>
  </si>
  <si>
    <t>input[17][0]</t>
  </si>
  <si>
    <t>input[18][0]</t>
  </si>
  <si>
    <t>input[19][0]</t>
  </si>
  <si>
    <t>input[20][0]</t>
  </si>
  <si>
    <t>input[21][0]</t>
  </si>
  <si>
    <t>input[22][0]</t>
  </si>
  <si>
    <t>input[23][0]</t>
  </si>
  <si>
    <t>input[24][0]</t>
  </si>
  <si>
    <t>input[25][0]</t>
  </si>
  <si>
    <t>input[26][0]</t>
  </si>
  <si>
    <t>input[27][0]</t>
  </si>
  <si>
    <t>filter_1</t>
  </si>
  <si>
    <t>filter_2</t>
  </si>
  <si>
    <t>filter_3</t>
  </si>
  <si>
    <t>filter_4</t>
  </si>
  <si>
    <t>filter_5</t>
  </si>
  <si>
    <t>filter_6</t>
  </si>
  <si>
    <t>Time</t>
  </si>
  <si>
    <t>X1</t>
  </si>
  <si>
    <t>X2</t>
  </si>
  <si>
    <t>X3</t>
  </si>
  <si>
    <t>X4</t>
  </si>
  <si>
    <t>X5</t>
  </si>
  <si>
    <t>Bias</t>
  </si>
  <si>
    <t>column = (address % 16) +1</t>
  </si>
  <si>
    <t>ARRAYFORMULA("FV1[" &amp; (COLUMN(I1:N1)-COLUMN(I1)) &amp; "][" &amp; QUOTIENT(SEQUENCE(144, 1, 0), 12) &amp; "][" &amp; MOD(SEQUENCE(144, 1, 0), 12) &amp; "]")</t>
  </si>
  <si>
    <t>W[n][0][1]</t>
  </si>
  <si>
    <t>W[n][0][2]</t>
  </si>
  <si>
    <t>W[n][0][3]</t>
  </si>
  <si>
    <t>W[n][0][4]</t>
  </si>
  <si>
    <t>row = address / 16</t>
  </si>
  <si>
    <t>FV1[0][0][0]</t>
  </si>
  <si>
    <t>FV1[1][0][0]</t>
  </si>
  <si>
    <t>FV1[2][0][0]</t>
  </si>
  <si>
    <t>FV1[3][0][0]</t>
  </si>
  <si>
    <t>FV1[4][0][0]</t>
  </si>
  <si>
    <t>FV1[5][0][0]</t>
  </si>
  <si>
    <t xml:space="preserve">Problem: </t>
  </si>
  <si>
    <t>W[n][1][0]</t>
  </si>
  <si>
    <t>W[n][1][1]</t>
  </si>
  <si>
    <t>W[n][1][2]</t>
  </si>
  <si>
    <t>W[n][1][3]</t>
  </si>
  <si>
    <t>W[n][1][4]</t>
  </si>
  <si>
    <t>FV1[0][0][1]</t>
  </si>
  <si>
    <t>FV1[1][0][1]</t>
  </si>
  <si>
    <t>FV1[2][0][1]</t>
  </si>
  <si>
    <t>FV1[3][0][1]</t>
  </si>
  <si>
    <t>FV1[4][0][1]</t>
  </si>
  <si>
    <t>FV1[5][0][1]</t>
  </si>
  <si>
    <t>the output requires 6 simultinous 
FV1 from the same feature.</t>
  </si>
  <si>
    <t>FV1[n][0:5][0:5]</t>
  </si>
  <si>
    <t>W[n][2][0]</t>
  </si>
  <si>
    <t>W[n][2][1]</t>
  </si>
  <si>
    <t>W[n][2][2]</t>
  </si>
  <si>
    <t>W[n][2][3]</t>
  </si>
  <si>
    <t>W[n][2][4]</t>
  </si>
  <si>
    <t>FV1[0][0][2]</t>
  </si>
  <si>
    <t>FV1[1][0][2]</t>
  </si>
  <si>
    <t>FV1[2][0][2]</t>
  </si>
  <si>
    <t>FV1[3][0][2]</t>
  </si>
  <si>
    <t>FV1[4][0][2]</t>
  </si>
  <si>
    <t>FV1[5][0][2]</t>
  </si>
  <si>
    <t>SOLUTION:</t>
  </si>
  <si>
    <t>FV2[n][0][1]</t>
  </si>
  <si>
    <t>FV1[n][0:5][2:7]</t>
  </si>
  <si>
    <t>W[n][3][0]</t>
  </si>
  <si>
    <t>W[n][3][1]</t>
  </si>
  <si>
    <t>W[n][3][2]</t>
  </si>
  <si>
    <t>W[n][3][3]</t>
  </si>
  <si>
    <t>W[n][3][4]</t>
  </si>
  <si>
    <t>FV1[0][0][3]</t>
  </si>
  <si>
    <t>FV1[1][0][3]</t>
  </si>
  <si>
    <t>FV1[2][0][3]</t>
  </si>
  <si>
    <t>FV1[3][0][3]</t>
  </si>
  <si>
    <t>FV1[4][0][3]</t>
  </si>
  <si>
    <t>FV1[5][0][3]</t>
  </si>
  <si>
    <t>adjust the order of weights 
instead of order of features</t>
  </si>
  <si>
    <t>FV2[n][0][2]</t>
  </si>
  <si>
    <t>FV1[n][0:5][4:9]</t>
  </si>
  <si>
    <t>W[n][4][0]</t>
  </si>
  <si>
    <t>W[n][4][1]</t>
  </si>
  <si>
    <t>W[n][4][2]</t>
  </si>
  <si>
    <t>W[n][4][3]</t>
  </si>
  <si>
    <t>W[n][4][4]</t>
  </si>
  <si>
    <t xml:space="preserve">TODO: give me an address ordering
 that is suitable for feeding the 
inputs that generate: </t>
  </si>
  <si>
    <t>in_address at T1</t>
  </si>
  <si>
    <t>in_address at T2</t>
  </si>
  <si>
    <t>in_address at T3</t>
  </si>
  <si>
    <t>in_address at T4</t>
  </si>
  <si>
    <t>in_address at T5</t>
  </si>
  <si>
    <t>in_address at T6</t>
  </si>
  <si>
    <t>FV1[0][0][4]</t>
  </si>
  <si>
    <t>FV1[1][0][4]</t>
  </si>
  <si>
    <t>FV1[2][0][4]</t>
  </si>
  <si>
    <t>FV1[3][0][4]</t>
  </si>
  <si>
    <t>FV1[4][0][4]</t>
  </si>
  <si>
    <t>FV1[5][0][4]</t>
  </si>
  <si>
    <t>FV2[n][0][3]</t>
  </si>
  <si>
    <t>FV1[n][0:5][6:11]</t>
  </si>
  <si>
    <t>W[n][5][0]</t>
  </si>
  <si>
    <t>W[n][5][1]</t>
  </si>
  <si>
    <t>W[n][5][2]</t>
  </si>
  <si>
    <t>W[n][5][3]</t>
  </si>
  <si>
    <t>W[n][5][4]</t>
  </si>
  <si>
    <t>FV1[0][0][5]</t>
  </si>
  <si>
    <t>FV1[1][0][5]</t>
  </si>
  <si>
    <t>FV1[2][0][5]</t>
  </si>
  <si>
    <t>FV1[3][0][5]</t>
  </si>
  <si>
    <t>FV1[4][0][5]</t>
  </si>
  <si>
    <t>FV1[5][0][5]</t>
  </si>
  <si>
    <t>FV2[n][1][0]</t>
  </si>
  <si>
    <t>W[n][0][5]</t>
  </si>
  <si>
    <t>W[n][0][6]</t>
  </si>
  <si>
    <t>FV1[0][0][6]</t>
  </si>
  <si>
    <t>FV1[1][0][6]</t>
  </si>
  <si>
    <t>FV1[2][0][6]</t>
  </si>
  <si>
    <t>FV1[3][0][6]</t>
  </si>
  <si>
    <t>FV1[4][0][6]</t>
  </si>
  <si>
    <t>FV1[5][0][6]</t>
  </si>
  <si>
    <t>FV2[n][1][1]</t>
  </si>
  <si>
    <t>FV1[n][2:7][2:7]</t>
  </si>
  <si>
    <t>W[n][1][5]</t>
  </si>
  <si>
    <t>W[n][1][6]</t>
  </si>
  <si>
    <t>FV1[0][0][7]</t>
  </si>
  <si>
    <t>FV1[1][0][7]</t>
  </si>
  <si>
    <t>FV1[2][0][7]</t>
  </si>
  <si>
    <t>FV1[3][0][7]</t>
  </si>
  <si>
    <t>FV1[4][0][7]</t>
  </si>
  <si>
    <t>FV1[5][0][7]</t>
  </si>
  <si>
    <t>FV2[n][1][2]</t>
  </si>
  <si>
    <t>FV1[n][2:7][4:9]</t>
  </si>
  <si>
    <t>W[n][2][5]</t>
  </si>
  <si>
    <t>W[n][2][6]</t>
  </si>
  <si>
    <t>FV1[0][0][8]</t>
  </si>
  <si>
    <t>FV1[1][0][8]</t>
  </si>
  <si>
    <t>FV1[2][0][8]</t>
  </si>
  <si>
    <t>FV1[3][0][8]</t>
  </si>
  <si>
    <t>FV1[4][0][8]</t>
  </si>
  <si>
    <t>FV1[5][0][8]</t>
  </si>
  <si>
    <t>FV2[n][1][3]</t>
  </si>
  <si>
    <t>FV1[n][2:7][6:11]</t>
  </si>
  <si>
    <t>W[n][3][5]</t>
  </si>
  <si>
    <t>W[n][3][6]</t>
  </si>
  <si>
    <t>FV1[0][0][9]</t>
  </si>
  <si>
    <t>FV1[1][0][9]</t>
  </si>
  <si>
    <t>FV1[2][0][9]</t>
  </si>
  <si>
    <t>FV1[3][0][9]</t>
  </si>
  <si>
    <t>FV1[4][0][9]</t>
  </si>
  <si>
    <t>FV1[5][0][9]</t>
  </si>
  <si>
    <t>FV2[n][2][0]</t>
  </si>
  <si>
    <t>W[n][4][5]</t>
  </si>
  <si>
    <t>W[n][4][6]</t>
  </si>
  <si>
    <t>FV1[0][0][10]</t>
  </si>
  <si>
    <t>FV1[1][0][10]</t>
  </si>
  <si>
    <t>FV1[2][0][10]</t>
  </si>
  <si>
    <t>FV1[3][0][10]</t>
  </si>
  <si>
    <t>FV1[4][0][10]</t>
  </si>
  <si>
    <t>FV1[5][0][10]</t>
  </si>
  <si>
    <t>FV2[n][2][1]</t>
  </si>
  <si>
    <t>FV1[n][4:9][2:7]</t>
  </si>
  <si>
    <t>W[n][5][5]</t>
  </si>
  <si>
    <t>W[n][5][6]</t>
  </si>
  <si>
    <t>FV1[0][0][11]</t>
  </si>
  <si>
    <t>FV1[1][0][11]</t>
  </si>
  <si>
    <t>FV1[2][0][11]</t>
  </si>
  <si>
    <t>FV1[3][0][11]</t>
  </si>
  <si>
    <t>FV1[4][0][11]</t>
  </si>
  <si>
    <t>FV1[5][0][11]</t>
  </si>
  <si>
    <t>FV2[n][2][2]</t>
  </si>
  <si>
    <t>FV1[n][4:9][4:9]</t>
  </si>
  <si>
    <t>FV2[n][2][3]</t>
  </si>
  <si>
    <t>FV1[n][4:9][6:11]</t>
  </si>
  <si>
    <t>FV2[n][3][0]</t>
  </si>
  <si>
    <t>FV2[n][3][1]</t>
  </si>
  <si>
    <t>FV1[n][6:11][2:7]</t>
  </si>
  <si>
    <t>FV2[n][3][2]</t>
  </si>
  <si>
    <t>FV1[n][6:11][4:9]</t>
  </si>
  <si>
    <t>FV1[0][1][0]</t>
  </si>
  <si>
    <t>FV1[1][1][0]</t>
  </si>
  <si>
    <t>FV1[2][1][0]</t>
  </si>
  <si>
    <t>FV1[3][1][0]</t>
  </si>
  <si>
    <t>FV1[4][1][0]</t>
  </si>
  <si>
    <t>FV1[5][1][0]</t>
  </si>
  <si>
    <t>FV2[n][3][3]</t>
  </si>
  <si>
    <t>FV1[n][6:11][6:11]</t>
  </si>
  <si>
    <t>FV1[0][1][1]</t>
  </si>
  <si>
    <t>FV1[1][1][1]</t>
  </si>
  <si>
    <t>FV1[2][1][1]</t>
  </si>
  <si>
    <t>FV1[3][1][1]</t>
  </si>
  <si>
    <t>FV1[4][1][1]</t>
  </si>
  <si>
    <t>FV1[5][1][1]</t>
  </si>
  <si>
    <t>FV1[0][1][2]</t>
  </si>
  <si>
    <t>FV1[1][1][2]</t>
  </si>
  <si>
    <t>FV1[2][1][2]</t>
  </si>
  <si>
    <t>FV1[3][1][2]</t>
  </si>
  <si>
    <t>FV1[4][1][2]</t>
  </si>
  <si>
    <t>FV1[5][1][2]</t>
  </si>
  <si>
    <t>FV1[0][1][3]</t>
  </si>
  <si>
    <t>FV1[1][1][3]</t>
  </si>
  <si>
    <t>FV1[2][1][3]</t>
  </si>
  <si>
    <t>FV1[3][1][3]</t>
  </si>
  <si>
    <t>FV1[4][1][3]</t>
  </si>
  <si>
    <t>FV1[5][1][3]</t>
  </si>
  <si>
    <t>FV1[0][1][4]</t>
  </si>
  <si>
    <t>FV1[1][1][4]</t>
  </si>
  <si>
    <t>FV1[2][1][4]</t>
  </si>
  <si>
    <t>FV1[3][1][4]</t>
  </si>
  <si>
    <t>FV1[4][1][4]</t>
  </si>
  <si>
    <t>FV1[5][1][4]</t>
  </si>
  <si>
    <t>FV1[0][1][5]</t>
  </si>
  <si>
    <t>FV1[1][1][5]</t>
  </si>
  <si>
    <t>FV1[2][1][5]</t>
  </si>
  <si>
    <t>FV1[3][1][5]</t>
  </si>
  <si>
    <t>FV1[4][1][5]</t>
  </si>
  <si>
    <t>FV1[5][1][5]</t>
  </si>
  <si>
    <t>FV1[0][1][6]</t>
  </si>
  <si>
    <t>FV1[1][1][6]</t>
  </si>
  <si>
    <t>FV1[2][1][6]</t>
  </si>
  <si>
    <t>FV1[3][1][6]</t>
  </si>
  <si>
    <t>FV1[4][1][6]</t>
  </si>
  <si>
    <t>FV1[5][1][6]</t>
  </si>
  <si>
    <t>FV1[0][1][7]</t>
  </si>
  <si>
    <t>FV1[1][1][7]</t>
  </si>
  <si>
    <t>FV1[2][1][7]</t>
  </si>
  <si>
    <t>FV1[3][1][7]</t>
  </si>
  <si>
    <t>FV1[4][1][7]</t>
  </si>
  <si>
    <t>FV1[5][1][7]</t>
  </si>
  <si>
    <t>FV1[0][1][8]</t>
  </si>
  <si>
    <t>FV1[1][1][8]</t>
  </si>
  <si>
    <t>FV1[2][1][8]</t>
  </si>
  <si>
    <t>FV1[3][1][8]</t>
  </si>
  <si>
    <t>FV1[4][1][8]</t>
  </si>
  <si>
    <t>FV1[5][1][8]</t>
  </si>
  <si>
    <t>FV1[0][1][9]</t>
  </si>
  <si>
    <t>FV1[1][1][9]</t>
  </si>
  <si>
    <t>FV1[2][1][9]</t>
  </si>
  <si>
    <t>FV1[3][1][9]</t>
  </si>
  <si>
    <t>FV1[4][1][9]</t>
  </si>
  <si>
    <t>FV1[5][1][9]</t>
  </si>
  <si>
    <t>FV1[0][1][10]</t>
  </si>
  <si>
    <t>FV1[1][1][10]</t>
  </si>
  <si>
    <t>FV1[2][1][10]</t>
  </si>
  <si>
    <t>FV1[3][1][10]</t>
  </si>
  <si>
    <t>FV1[4][1][10]</t>
  </si>
  <si>
    <t>FV1[5][1][10]</t>
  </si>
  <si>
    <t>FV1[0][1][11]</t>
  </si>
  <si>
    <t>FV1[1][1][11]</t>
  </si>
  <si>
    <t>FV1[2][1][11]</t>
  </si>
  <si>
    <t>FV1[3][1][11]</t>
  </si>
  <si>
    <t>FV1[4][1][11]</t>
  </si>
  <si>
    <t>FV1[5][1][11]</t>
  </si>
  <si>
    <t>FV1[0][2][0]</t>
  </si>
  <si>
    <t>FV1[1][2][0]</t>
  </si>
  <si>
    <t>FV1[2][2][0]</t>
  </si>
  <si>
    <t>FV1[3][2][0]</t>
  </si>
  <si>
    <t>FV1[4][2][0]</t>
  </si>
  <si>
    <t>FV1[5][2][0]</t>
  </si>
  <si>
    <t>FV1[0][2][1]</t>
  </si>
  <si>
    <t>FV1[1][2][1]</t>
  </si>
  <si>
    <t>FV1[2][2][1]</t>
  </si>
  <si>
    <t>FV1[3][2][1]</t>
  </si>
  <si>
    <t>FV1[4][2][1]</t>
  </si>
  <si>
    <t>FV1[5][2][1]</t>
  </si>
  <si>
    <t>FV1[0][2][2]</t>
  </si>
  <si>
    <t>FV1[1][2][2]</t>
  </si>
  <si>
    <t>FV1[2][2][2]</t>
  </si>
  <si>
    <t>FV1[3][2][2]</t>
  </si>
  <si>
    <t>FV1[4][2][2]</t>
  </si>
  <si>
    <t>FV1[5][2][2]</t>
  </si>
  <si>
    <t>FV1[0][2][3]</t>
  </si>
  <si>
    <t>FV1[1][2][3]</t>
  </si>
  <si>
    <t>FV1[2][2][3]</t>
  </si>
  <si>
    <t>FV1[3][2][3]</t>
  </si>
  <si>
    <t>FV1[4][2][3]</t>
  </si>
  <si>
    <t>FV1[5][2][3]</t>
  </si>
  <si>
    <t>FV1[0][2][4]</t>
  </si>
  <si>
    <t>FV1[1][2][4]</t>
  </si>
  <si>
    <t>FV1[2][2][4]</t>
  </si>
  <si>
    <t>FV1[3][2][4]</t>
  </si>
  <si>
    <t>FV1[4][2][4]</t>
  </si>
  <si>
    <t>FV1[5][2][4]</t>
  </si>
  <si>
    <t>FV1[0][2][5]</t>
  </si>
  <si>
    <t>FV1[1][2][5]</t>
  </si>
  <si>
    <t>FV1[2][2][5]</t>
  </si>
  <si>
    <t>FV1[3][2][5]</t>
  </si>
  <si>
    <t>FV1[4][2][5]</t>
  </si>
  <si>
    <t>FV1[5][2][5]</t>
  </si>
  <si>
    <t>FV1[0][2][6]</t>
  </si>
  <si>
    <t>FV1[1][2][6]</t>
  </si>
  <si>
    <t>FV1[2][2][6]</t>
  </si>
  <si>
    <t>FV1[3][2][6]</t>
  </si>
  <si>
    <t>FV1[4][2][6]</t>
  </si>
  <si>
    <t>FV1[5][2][6]</t>
  </si>
  <si>
    <t>FV1[0][2][7]</t>
  </si>
  <si>
    <t>FV1[1][2][7]</t>
  </si>
  <si>
    <t>FV1[2][2][7]</t>
  </si>
  <si>
    <t>FV1[3][2][7]</t>
  </si>
  <si>
    <t>FV1[4][2][7]</t>
  </si>
  <si>
    <t>FV1[5][2][7]</t>
  </si>
  <si>
    <t>FV1[0][2][8]</t>
  </si>
  <si>
    <t>FV1[1][2][8]</t>
  </si>
  <si>
    <t>FV1[2][2][8]</t>
  </si>
  <si>
    <t>FV1[3][2][8]</t>
  </si>
  <si>
    <t>FV1[4][2][8]</t>
  </si>
  <si>
    <t>FV1[5][2][8]</t>
  </si>
  <si>
    <t>FV1[0][2][9]</t>
  </si>
  <si>
    <t>FV1[1][2][9]</t>
  </si>
  <si>
    <t>FV1[2][2][9]</t>
  </si>
  <si>
    <t>FV1[3][2][9]</t>
  </si>
  <si>
    <t>FV1[4][2][9]</t>
  </si>
  <si>
    <t>FV1[5][2][9]</t>
  </si>
  <si>
    <t>FV1[0][2][10]</t>
  </si>
  <si>
    <t>FV1[1][2][10]</t>
  </si>
  <si>
    <t>FV1[2][2][10]</t>
  </si>
  <si>
    <t>FV1[3][2][10]</t>
  </si>
  <si>
    <t>FV1[4][2][10]</t>
  </si>
  <si>
    <t>FV1[5][2][10]</t>
  </si>
  <si>
    <t>FV1[0][2][11]</t>
  </si>
  <si>
    <t>FV1[1][2][11]</t>
  </si>
  <si>
    <t>FV1[2][2][11]</t>
  </si>
  <si>
    <t>FV1[3][2][11]</t>
  </si>
  <si>
    <t>FV1[4][2][11]</t>
  </si>
  <si>
    <t>FV1[5][2][11]</t>
  </si>
  <si>
    <t>FV1[0][3][0]</t>
  </si>
  <si>
    <t>FV1[1][3][0]</t>
  </si>
  <si>
    <t>FV1[2][3][0]</t>
  </si>
  <si>
    <t>FV1[3][3][0]</t>
  </si>
  <si>
    <t>FV1[4][3][0]</t>
  </si>
  <si>
    <t>FV1[5][3][0]</t>
  </si>
  <si>
    <t>FV1[0][3][1]</t>
  </si>
  <si>
    <t>FV1[1][3][1]</t>
  </si>
  <si>
    <t>FV1[2][3][1]</t>
  </si>
  <si>
    <t>FV1[3][3][1]</t>
  </si>
  <si>
    <t>FV1[4][3][1]</t>
  </si>
  <si>
    <t>FV1[5][3][1]</t>
  </si>
  <si>
    <t>FV1[0][3][2]</t>
  </si>
  <si>
    <t>FV1[1][3][2]</t>
  </si>
  <si>
    <t>FV1[2][3][2]</t>
  </si>
  <si>
    <t>FV1[3][3][2]</t>
  </si>
  <si>
    <t>FV1[4][3][2]</t>
  </si>
  <si>
    <t>FV1[5][3][2]</t>
  </si>
  <si>
    <t>FV1[0][3][3]</t>
  </si>
  <si>
    <t>FV1[1][3][3]</t>
  </si>
  <si>
    <t>FV1[2][3][3]</t>
  </si>
  <si>
    <t>FV1[3][3][3]</t>
  </si>
  <si>
    <t>FV1[4][3][3]</t>
  </si>
  <si>
    <t>FV1[5][3][3]</t>
  </si>
  <si>
    <t>FV1[0][3][4]</t>
  </si>
  <si>
    <t>FV1[1][3][4]</t>
  </si>
  <si>
    <t>FV1[2][3][4]</t>
  </si>
  <si>
    <t>FV1[3][3][4]</t>
  </si>
  <si>
    <t>FV1[4][3][4]</t>
  </si>
  <si>
    <t>FV1[5][3][4]</t>
  </si>
  <si>
    <t>FV1[0][3][5]</t>
  </si>
  <si>
    <t>FV1[1][3][5]</t>
  </si>
  <si>
    <t>FV1[2][3][5]</t>
  </si>
  <si>
    <t>FV1[3][3][5]</t>
  </si>
  <si>
    <t>FV1[4][3][5]</t>
  </si>
  <si>
    <t>FV1[5][3][5]</t>
  </si>
  <si>
    <t>FV1[0][3][6]</t>
  </si>
  <si>
    <t>FV1[1][3][6]</t>
  </si>
  <si>
    <t>FV1[2][3][6]</t>
  </si>
  <si>
    <t>FV1[3][3][6]</t>
  </si>
  <si>
    <t>FV1[4][3][6]</t>
  </si>
  <si>
    <t>FV1[5][3][6]</t>
  </si>
  <si>
    <t>FV1[0][3][7]</t>
  </si>
  <si>
    <t>FV1[1][3][7]</t>
  </si>
  <si>
    <t>FV1[2][3][7]</t>
  </si>
  <si>
    <t>FV1[3][3][7]</t>
  </si>
  <si>
    <t>FV1[4][3][7]</t>
  </si>
  <si>
    <t>FV1[5][3][7]</t>
  </si>
  <si>
    <t>FV1[0][3][8]</t>
  </si>
  <si>
    <t>FV1[1][3][8]</t>
  </si>
  <si>
    <t>FV1[2][3][8]</t>
  </si>
  <si>
    <t>FV1[3][3][8]</t>
  </si>
  <si>
    <t>FV1[4][3][8]</t>
  </si>
  <si>
    <t>FV1[5][3][8]</t>
  </si>
  <si>
    <t>FV1[0][3][9]</t>
  </si>
  <si>
    <t>FV1[1][3][9]</t>
  </si>
  <si>
    <t>FV1[2][3][9]</t>
  </si>
  <si>
    <t>FV1[3][3][9]</t>
  </si>
  <si>
    <t>FV1[4][3][9]</t>
  </si>
  <si>
    <t>FV1[5][3][9]</t>
  </si>
  <si>
    <t>FV1[0][3][10]</t>
  </si>
  <si>
    <t>FV1[1][3][10]</t>
  </si>
  <si>
    <t>FV1[2][3][10]</t>
  </si>
  <si>
    <t>FV1[3][3][10]</t>
  </si>
  <si>
    <t>FV1[4][3][10]</t>
  </si>
  <si>
    <t>FV1[5][3][10]</t>
  </si>
  <si>
    <t>FV1[0][3][11]</t>
  </si>
  <si>
    <t>FV1[1][3][11]</t>
  </si>
  <si>
    <t>FV1[2][3][11]</t>
  </si>
  <si>
    <t>FV1[3][3][11]</t>
  </si>
  <si>
    <t>FV1[4][3][11]</t>
  </si>
  <si>
    <t>FV1[5][3][11]</t>
  </si>
  <si>
    <t>FV1[0][4][0]</t>
  </si>
  <si>
    <t>FV1[1][4][0]</t>
  </si>
  <si>
    <t>FV1[2][4][0]</t>
  </si>
  <si>
    <t>FV1[3][4][0]</t>
  </si>
  <si>
    <t>FV1[4][4][0]</t>
  </si>
  <si>
    <t>FV1[5][4][0]</t>
  </si>
  <si>
    <t>FV1[0][4][1]</t>
  </si>
  <si>
    <t>FV1[1][4][1]</t>
  </si>
  <si>
    <t>FV1[2][4][1]</t>
  </si>
  <si>
    <t>FV1[3][4][1]</t>
  </si>
  <si>
    <t>FV1[4][4][1]</t>
  </si>
  <si>
    <t>FV1[5][4][1]</t>
  </si>
  <si>
    <t>FV1[0][4][2]</t>
  </si>
  <si>
    <t>FV1[1][4][2]</t>
  </si>
  <si>
    <t>FV1[2][4][2]</t>
  </si>
  <si>
    <t>FV1[3][4][2]</t>
  </si>
  <si>
    <t>FV1[4][4][2]</t>
  </si>
  <si>
    <t>FV1[5][4][2]</t>
  </si>
  <si>
    <t>FV1[0][4][3]</t>
  </si>
  <si>
    <t>FV1[1][4][3]</t>
  </si>
  <si>
    <t>FV1[2][4][3]</t>
  </si>
  <si>
    <t>FV1[3][4][3]</t>
  </si>
  <si>
    <t>FV1[4][4][3]</t>
  </si>
  <si>
    <t>FV1[5][4][3]</t>
  </si>
  <si>
    <t>FV1[0][4][4]</t>
  </si>
  <si>
    <t>FV1[1][4][4]</t>
  </si>
  <si>
    <t>FV1[2][4][4]</t>
  </si>
  <si>
    <t>FV1[3][4][4]</t>
  </si>
  <si>
    <t>FV1[4][4][4]</t>
  </si>
  <si>
    <t>FV1[5][4][4]</t>
  </si>
  <si>
    <t>FV1[0][4][5]</t>
  </si>
  <si>
    <t>FV1[1][4][5]</t>
  </si>
  <si>
    <t>FV1[2][4][5]</t>
  </si>
  <si>
    <t>FV1[3][4][5]</t>
  </si>
  <si>
    <t>FV1[4][4][5]</t>
  </si>
  <si>
    <t>FV1[5][4][5]</t>
  </si>
  <si>
    <t>FV1[0][4][6]</t>
  </si>
  <si>
    <t>FV1[1][4][6]</t>
  </si>
  <si>
    <t>FV1[2][4][6]</t>
  </si>
  <si>
    <t>FV1[3][4][6]</t>
  </si>
  <si>
    <t>FV1[4][4][6]</t>
  </si>
  <si>
    <t>FV1[5][4][6]</t>
  </si>
  <si>
    <t>FV1[0][4][7]</t>
  </si>
  <si>
    <t>FV1[1][4][7]</t>
  </si>
  <si>
    <t>FV1[2][4][7]</t>
  </si>
  <si>
    <t>FV1[3][4][7]</t>
  </si>
  <si>
    <t>FV1[4][4][7]</t>
  </si>
  <si>
    <t>FV1[5][4][7]</t>
  </si>
  <si>
    <t>FV1[0][4][8]</t>
  </si>
  <si>
    <t>FV1[1][4][8]</t>
  </si>
  <si>
    <t>FV1[2][4][8]</t>
  </si>
  <si>
    <t>FV1[3][4][8]</t>
  </si>
  <si>
    <t>FV1[4][4][8]</t>
  </si>
  <si>
    <t>FV1[5][4][8]</t>
  </si>
  <si>
    <t>FV1[0][4][9]</t>
  </si>
  <si>
    <t>FV1[1][4][9]</t>
  </si>
  <si>
    <t>FV1[2][4][9]</t>
  </si>
  <si>
    <t>FV1[3][4][9]</t>
  </si>
  <si>
    <t>FV1[4][4][9]</t>
  </si>
  <si>
    <t>FV1[5][4][9]</t>
  </si>
  <si>
    <t>FV1[0][4][10]</t>
  </si>
  <si>
    <t>FV1[1][4][10]</t>
  </si>
  <si>
    <t>FV1[2][4][10]</t>
  </si>
  <si>
    <t>FV1[3][4][10]</t>
  </si>
  <si>
    <t>FV1[4][4][10]</t>
  </si>
  <si>
    <t>FV1[5][4][10]</t>
  </si>
  <si>
    <t>FV1[0][4][11]</t>
  </si>
  <si>
    <t>FV1[1][4][11]</t>
  </si>
  <si>
    <t>FV1[2][4][11]</t>
  </si>
  <si>
    <t>FV1[3][4][11]</t>
  </si>
  <si>
    <t>FV1[4][4][11]</t>
  </si>
  <si>
    <t>FV1[5][4][11]</t>
  </si>
  <si>
    <t>FV1[0][5][0]</t>
  </si>
  <si>
    <t>FV1[1][5][0]</t>
  </si>
  <si>
    <t>FV1[2][5][0]</t>
  </si>
  <si>
    <t>FV1[3][5][0]</t>
  </si>
  <si>
    <t>FV1[4][5][0]</t>
  </si>
  <si>
    <t>FV1[5][5][0]</t>
  </si>
  <si>
    <t>FV1[0][5][1]</t>
  </si>
  <si>
    <t>FV1[1][5][1]</t>
  </si>
  <si>
    <t>FV1[2][5][1]</t>
  </si>
  <si>
    <t>FV1[3][5][1]</t>
  </si>
  <si>
    <t>FV1[4][5][1]</t>
  </si>
  <si>
    <t>FV1[5][5][1]</t>
  </si>
  <si>
    <t>FV1[0][5][2]</t>
  </si>
  <si>
    <t>FV1[1][5][2]</t>
  </si>
  <si>
    <t>FV1[2][5][2]</t>
  </si>
  <si>
    <t>FV1[3][5][2]</t>
  </si>
  <si>
    <t>FV1[4][5][2]</t>
  </si>
  <si>
    <t>FV1[5][5][2]</t>
  </si>
  <si>
    <t>FV1[0][5][3]</t>
  </si>
  <si>
    <t>FV1[1][5][3]</t>
  </si>
  <si>
    <t>FV1[2][5][3]</t>
  </si>
  <si>
    <t>FV1[3][5][3]</t>
  </si>
  <si>
    <t>FV1[4][5][3]</t>
  </si>
  <si>
    <t>FV1[5][5][3]</t>
  </si>
  <si>
    <t>FV1[0][5][4]</t>
  </si>
  <si>
    <t>FV1[1][5][4]</t>
  </si>
  <si>
    <t>FV1[2][5][4]</t>
  </si>
  <si>
    <t>FV1[3][5][4]</t>
  </si>
  <si>
    <t>FV1[4][5][4]</t>
  </si>
  <si>
    <t>FV1[5][5][4]</t>
  </si>
  <si>
    <t>FV1[0][5][5]</t>
  </si>
  <si>
    <t>FV1[1][5][5]</t>
  </si>
  <si>
    <t>FV1[2][5][5]</t>
  </si>
  <si>
    <t>FV1[3][5][5]</t>
  </si>
  <si>
    <t>FV1[4][5][5]</t>
  </si>
  <si>
    <t>FV1[5][5][5]</t>
  </si>
  <si>
    <t>FV1[0][5][6]</t>
  </si>
  <si>
    <t>FV1[1][5][6]</t>
  </si>
  <si>
    <t>FV1[2][5][6]</t>
  </si>
  <si>
    <t>FV1[3][5][6]</t>
  </si>
  <si>
    <t>FV1[4][5][6]</t>
  </si>
  <si>
    <t>FV1[5][5][6]</t>
  </si>
  <si>
    <t>FV1[0][5][7]</t>
  </si>
  <si>
    <t>FV1[1][5][7]</t>
  </si>
  <si>
    <t>FV1[2][5][7]</t>
  </si>
  <si>
    <t>FV1[3][5][7]</t>
  </si>
  <si>
    <t>FV1[4][5][7]</t>
  </si>
  <si>
    <t>FV1[5][5][7]</t>
  </si>
  <si>
    <t>FV1[0][5][8]</t>
  </si>
  <si>
    <t>FV1[1][5][8]</t>
  </si>
  <si>
    <t>FV1[2][5][8]</t>
  </si>
  <si>
    <t>FV1[3][5][8]</t>
  </si>
  <si>
    <t>FV1[4][5][8]</t>
  </si>
  <si>
    <t>FV1[5][5][8]</t>
  </si>
  <si>
    <t>FV1[0][5][9]</t>
  </si>
  <si>
    <t>FV1[1][5][9]</t>
  </si>
  <si>
    <t>FV1[2][5][9]</t>
  </si>
  <si>
    <t>FV1[3][5][9]</t>
  </si>
  <si>
    <t>FV1[4][5][9]</t>
  </si>
  <si>
    <t>FV1[5][5][9]</t>
  </si>
  <si>
    <t>FV1[0][5][10]</t>
  </si>
  <si>
    <t>FV1[1][5][10]</t>
  </si>
  <si>
    <t>FV1[2][5][10]</t>
  </si>
  <si>
    <t>FV1[3][5][10]</t>
  </si>
  <si>
    <t>FV1[4][5][10]</t>
  </si>
  <si>
    <t>FV1[5][5][10]</t>
  </si>
  <si>
    <t>FV1[0][5][11]</t>
  </si>
  <si>
    <t>FV1[1][5][11]</t>
  </si>
  <si>
    <t>FV1[2][5][11]</t>
  </si>
  <si>
    <t>FV1[3][5][11]</t>
  </si>
  <si>
    <t>FV1[4][5][11]</t>
  </si>
  <si>
    <t>FV1[5][5][11]</t>
  </si>
  <si>
    <t>FV1[0][6][0]</t>
  </si>
  <si>
    <t>FV1[1][6][0]</t>
  </si>
  <si>
    <t>FV1[2][6][0]</t>
  </si>
  <si>
    <t>FV1[3][6][0]</t>
  </si>
  <si>
    <t>FV1[4][6][0]</t>
  </si>
  <si>
    <t>FV1[5][6][0]</t>
  </si>
  <si>
    <t>FV1[0][6][1]</t>
  </si>
  <si>
    <t>FV1[1][6][1]</t>
  </si>
  <si>
    <t>FV1[2][6][1]</t>
  </si>
  <si>
    <t>FV1[3][6][1]</t>
  </si>
  <si>
    <t>FV1[4][6][1]</t>
  </si>
  <si>
    <t>FV1[5][6][1]</t>
  </si>
  <si>
    <t>FV1[0][6][2]</t>
  </si>
  <si>
    <t>FV1[1][6][2]</t>
  </si>
  <si>
    <t>FV1[2][6][2]</t>
  </si>
  <si>
    <t>FV1[3][6][2]</t>
  </si>
  <si>
    <t>FV1[4][6][2]</t>
  </si>
  <si>
    <t>FV1[5][6][2]</t>
  </si>
  <si>
    <t>FV1[0][6][3]</t>
  </si>
  <si>
    <t>FV1[1][6][3]</t>
  </si>
  <si>
    <t>FV1[2][6][3]</t>
  </si>
  <si>
    <t>FV1[3][6][3]</t>
  </si>
  <si>
    <t>FV1[4][6][3]</t>
  </si>
  <si>
    <t>FV1[5][6][3]</t>
  </si>
  <si>
    <t>FV1[0][6][4]</t>
  </si>
  <si>
    <t>FV1[1][6][4]</t>
  </si>
  <si>
    <t>FV1[2][6][4]</t>
  </si>
  <si>
    <t>FV1[3][6][4]</t>
  </si>
  <si>
    <t>FV1[4][6][4]</t>
  </si>
  <si>
    <t>FV1[5][6][4]</t>
  </si>
  <si>
    <t>FV1[0][6][5]</t>
  </si>
  <si>
    <t>FV1[1][6][5]</t>
  </si>
  <si>
    <t>FV1[2][6][5]</t>
  </si>
  <si>
    <t>FV1[3][6][5]</t>
  </si>
  <si>
    <t>FV1[4][6][5]</t>
  </si>
  <si>
    <t>FV1[5][6][5]</t>
  </si>
  <si>
    <t>FV1[0][6][6]</t>
  </si>
  <si>
    <t>FV1[1][6][6]</t>
  </si>
  <si>
    <t>FV1[2][6][6]</t>
  </si>
  <si>
    <t>FV1[3][6][6]</t>
  </si>
  <si>
    <t>FV1[4][6][6]</t>
  </si>
  <si>
    <t>FV1[5][6][6]</t>
  </si>
  <si>
    <t>FV1[0][6][7]</t>
  </si>
  <si>
    <t>FV1[1][6][7]</t>
  </si>
  <si>
    <t>FV1[2][6][7]</t>
  </si>
  <si>
    <t>FV1[3][6][7]</t>
  </si>
  <si>
    <t>FV1[4][6][7]</t>
  </si>
  <si>
    <t>FV1[5][6][7]</t>
  </si>
  <si>
    <t>FV1[0][6][8]</t>
  </si>
  <si>
    <t>FV1[1][6][8]</t>
  </si>
  <si>
    <t>FV1[2][6][8]</t>
  </si>
  <si>
    <t>FV1[3][6][8]</t>
  </si>
  <si>
    <t>FV1[4][6][8]</t>
  </si>
  <si>
    <t>FV1[5][6][8]</t>
  </si>
  <si>
    <t>FV1[0][6][9]</t>
  </si>
  <si>
    <t>FV1[1][6][9]</t>
  </si>
  <si>
    <t>FV1[2][6][9]</t>
  </si>
  <si>
    <t>FV1[3][6][9]</t>
  </si>
  <si>
    <t>FV1[4][6][9]</t>
  </si>
  <si>
    <t>FV1[5][6][9]</t>
  </si>
  <si>
    <t>FV1[0][6][10]</t>
  </si>
  <si>
    <t>FV1[1][6][10]</t>
  </si>
  <si>
    <t>FV1[2][6][10]</t>
  </si>
  <si>
    <t>FV1[3][6][10]</t>
  </si>
  <si>
    <t>FV1[4][6][10]</t>
  </si>
  <si>
    <t>FV1[5][6][10]</t>
  </si>
  <si>
    <t>FV1[0][6][11]</t>
  </si>
  <si>
    <t>FV1[1][6][11]</t>
  </si>
  <si>
    <t>FV1[2][6][11]</t>
  </si>
  <si>
    <t>FV1[3][6][11]</t>
  </si>
  <si>
    <t>FV1[4][6][11]</t>
  </si>
  <si>
    <t>FV1[5][6][11]</t>
  </si>
  <si>
    <t>FV1[0][7][0]</t>
  </si>
  <si>
    <t>FV1[1][7][0]</t>
  </si>
  <si>
    <t>FV1[2][7][0]</t>
  </si>
  <si>
    <t>FV1[3][7][0]</t>
  </si>
  <si>
    <t>FV1[4][7][0]</t>
  </si>
  <si>
    <t>FV1[5][7][0]</t>
  </si>
  <si>
    <t>FV1[0][7][1]</t>
  </si>
  <si>
    <t>FV1[1][7][1]</t>
  </si>
  <si>
    <t>FV1[2][7][1]</t>
  </si>
  <si>
    <t>FV1[3][7][1]</t>
  </si>
  <si>
    <t>FV1[4][7][1]</t>
  </si>
  <si>
    <t>FV1[5][7][1]</t>
  </si>
  <si>
    <t>FV1[0][7][2]</t>
  </si>
  <si>
    <t>FV1[1][7][2]</t>
  </si>
  <si>
    <t>FV1[2][7][2]</t>
  </si>
  <si>
    <t>FV1[3][7][2]</t>
  </si>
  <si>
    <t>FV1[4][7][2]</t>
  </si>
  <si>
    <t>FV1[5][7][2]</t>
  </si>
  <si>
    <t>FV1[0][7][3]</t>
  </si>
  <si>
    <t>FV1[1][7][3]</t>
  </si>
  <si>
    <t>FV1[2][7][3]</t>
  </si>
  <si>
    <t>FV1[3][7][3]</t>
  </si>
  <si>
    <t>FV1[4][7][3]</t>
  </si>
  <si>
    <t>FV1[5][7][3]</t>
  </si>
  <si>
    <t>FV1[0][7][4]</t>
  </si>
  <si>
    <t>FV1[1][7][4]</t>
  </si>
  <si>
    <t>FV1[2][7][4]</t>
  </si>
  <si>
    <t>FV1[3][7][4]</t>
  </si>
  <si>
    <t>FV1[4][7][4]</t>
  </si>
  <si>
    <t>FV1[5][7][4]</t>
  </si>
  <si>
    <t>FV1[0][7][5]</t>
  </si>
  <si>
    <t>FV1[1][7][5]</t>
  </si>
  <si>
    <t>FV1[2][7][5]</t>
  </si>
  <si>
    <t>FV1[3][7][5]</t>
  </si>
  <si>
    <t>FV1[4][7][5]</t>
  </si>
  <si>
    <t>FV1[5][7][5]</t>
  </si>
  <si>
    <t>FV1[0][7][6]</t>
  </si>
  <si>
    <t>FV1[1][7][6]</t>
  </si>
  <si>
    <t>FV1[2][7][6]</t>
  </si>
  <si>
    <t>FV1[3][7][6]</t>
  </si>
  <si>
    <t>FV1[4][7][6]</t>
  </si>
  <si>
    <t>FV1[5][7][6]</t>
  </si>
  <si>
    <t>FV1[0][7][7]</t>
  </si>
  <si>
    <t>FV1[1][7][7]</t>
  </si>
  <si>
    <t>FV1[2][7][7]</t>
  </si>
  <si>
    <t>FV1[3][7][7]</t>
  </si>
  <si>
    <t>FV1[4][7][7]</t>
  </si>
  <si>
    <t>FV1[5][7][7]</t>
  </si>
  <si>
    <t>FV1[0][7][8]</t>
  </si>
  <si>
    <t>FV1[1][7][8]</t>
  </si>
  <si>
    <t>FV1[2][7][8]</t>
  </si>
  <si>
    <t>FV1[3][7][8]</t>
  </si>
  <si>
    <t>FV1[4][7][8]</t>
  </si>
  <si>
    <t>FV1[5][7][8]</t>
  </si>
  <si>
    <t>FV1[0][7][9]</t>
  </si>
  <si>
    <t>FV1[1][7][9]</t>
  </si>
  <si>
    <t>FV1[2][7][9]</t>
  </si>
  <si>
    <t>FV1[3][7][9]</t>
  </si>
  <si>
    <t>FV1[4][7][9]</t>
  </si>
  <si>
    <t>FV1[5][7][9]</t>
  </si>
  <si>
    <t>FV1[0][7][10]</t>
  </si>
  <si>
    <t>FV1[1][7][10]</t>
  </si>
  <si>
    <t>FV1[2][7][10]</t>
  </si>
  <si>
    <t>FV1[3][7][10]</t>
  </si>
  <si>
    <t>FV1[4][7][10]</t>
  </si>
  <si>
    <t>FV1[5][7][10]</t>
  </si>
  <si>
    <t>FV1[0][7][11]</t>
  </si>
  <si>
    <t>FV1[1][7][11]</t>
  </si>
  <si>
    <t>FV1[2][7][11]</t>
  </si>
  <si>
    <t>FV1[3][7][11]</t>
  </si>
  <si>
    <t>FV1[4][7][11]</t>
  </si>
  <si>
    <t>FV1[5][7][11]</t>
  </si>
  <si>
    <t>FV1[0][8][0]</t>
  </si>
  <si>
    <t>FV1[1][8][0]</t>
  </si>
  <si>
    <t>FV1[2][8][0]</t>
  </si>
  <si>
    <t>FV1[3][8][0]</t>
  </si>
  <si>
    <t>FV1[4][8][0]</t>
  </si>
  <si>
    <t>FV1[5][8][0]</t>
  </si>
  <si>
    <t>FV1[0][8][1]</t>
  </si>
  <si>
    <t>FV1[1][8][1]</t>
  </si>
  <si>
    <t>FV1[2][8][1]</t>
  </si>
  <si>
    <t>FV1[3][8][1]</t>
  </si>
  <si>
    <t>FV1[4][8][1]</t>
  </si>
  <si>
    <t>FV1[5][8][1]</t>
  </si>
  <si>
    <t>FV1[0][8][2]</t>
  </si>
  <si>
    <t>FV1[1][8][2]</t>
  </si>
  <si>
    <t>FV1[2][8][2]</t>
  </si>
  <si>
    <t>FV1[3][8][2]</t>
  </si>
  <si>
    <t>FV1[4][8][2]</t>
  </si>
  <si>
    <t>FV1[5][8][2]</t>
  </si>
  <si>
    <t>FV1[0][8][3]</t>
  </si>
  <si>
    <t>FV1[1][8][3]</t>
  </si>
  <si>
    <t>FV1[2][8][3]</t>
  </si>
  <si>
    <t>FV1[3][8][3]</t>
  </si>
  <si>
    <t>FV1[4][8][3]</t>
  </si>
  <si>
    <t>FV1[5][8][3]</t>
  </si>
  <si>
    <t>FV1[0][8][4]</t>
  </si>
  <si>
    <t>FV1[1][8][4]</t>
  </si>
  <si>
    <t>FV1[2][8][4]</t>
  </si>
  <si>
    <t>FV1[3][8][4]</t>
  </si>
  <si>
    <t>FV1[4][8][4]</t>
  </si>
  <si>
    <t>FV1[5][8][4]</t>
  </si>
  <si>
    <t>FV1[0][8][5]</t>
  </si>
  <si>
    <t>FV1[1][8][5]</t>
  </si>
  <si>
    <t>FV1[2][8][5]</t>
  </si>
  <si>
    <t>FV1[3][8][5]</t>
  </si>
  <si>
    <t>FV1[4][8][5]</t>
  </si>
  <si>
    <t>FV1[5][8][5]</t>
  </si>
  <si>
    <t>FV1[0][8][6]</t>
  </si>
  <si>
    <t>FV1[1][8][6]</t>
  </si>
  <si>
    <t>FV1[2][8][6]</t>
  </si>
  <si>
    <t>FV1[3][8][6]</t>
  </si>
  <si>
    <t>FV1[4][8][6]</t>
  </si>
  <si>
    <t>FV1[5][8][6]</t>
  </si>
  <si>
    <t>FV1[0][8][7]</t>
  </si>
  <si>
    <t>FV1[1][8][7]</t>
  </si>
  <si>
    <t>FV1[2][8][7]</t>
  </si>
  <si>
    <t>FV1[3][8][7]</t>
  </si>
  <si>
    <t>FV1[4][8][7]</t>
  </si>
  <si>
    <t>FV1[5][8][7]</t>
  </si>
  <si>
    <t>FV1[0][8][8]</t>
  </si>
  <si>
    <t>FV1[1][8][8]</t>
  </si>
  <si>
    <t>FV1[2][8][8]</t>
  </si>
  <si>
    <t>FV1[3][8][8]</t>
  </si>
  <si>
    <t>FV1[4][8][8]</t>
  </si>
  <si>
    <t>FV1[5][8][8]</t>
  </si>
  <si>
    <t>FV1[0][8][9]</t>
  </si>
  <si>
    <t>FV1[1][8][9]</t>
  </si>
  <si>
    <t>FV1[2][8][9]</t>
  </si>
  <si>
    <t>FV1[3][8][9]</t>
  </si>
  <si>
    <t>FV1[4][8][9]</t>
  </si>
  <si>
    <t>FV1[5][8][9]</t>
  </si>
  <si>
    <t>FV1[0][8][10]</t>
  </si>
  <si>
    <t>FV1[1][8][10]</t>
  </si>
  <si>
    <t>FV1[2][8][10]</t>
  </si>
  <si>
    <t>FV1[3][8][10]</t>
  </si>
  <si>
    <t>FV1[4][8][10]</t>
  </si>
  <si>
    <t>FV1[5][8][10]</t>
  </si>
  <si>
    <t>FV1[0][8][11]</t>
  </si>
  <si>
    <t>FV1[1][8][11]</t>
  </si>
  <si>
    <t>FV1[2][8][11]</t>
  </si>
  <si>
    <t>FV1[3][8][11]</t>
  </si>
  <si>
    <t>FV1[4][8][11]</t>
  </si>
  <si>
    <t>FV1[5][8][11]</t>
  </si>
  <si>
    <t>FV1[0][9][0]</t>
  </si>
  <si>
    <t>FV1[1][9][0]</t>
  </si>
  <si>
    <t>FV1[2][9][0]</t>
  </si>
  <si>
    <t>FV1[3][9][0]</t>
  </si>
  <si>
    <t>FV1[4][9][0]</t>
  </si>
  <si>
    <t>FV1[5][9][0]</t>
  </si>
  <si>
    <t>FV1[0][9][1]</t>
  </si>
  <si>
    <t>FV1[1][9][1]</t>
  </si>
  <si>
    <t>FV1[2][9][1]</t>
  </si>
  <si>
    <t>FV1[3][9][1]</t>
  </si>
  <si>
    <t>FV1[4][9][1]</t>
  </si>
  <si>
    <t>FV1[5][9][1]</t>
  </si>
  <si>
    <t>FV1[0][9][2]</t>
  </si>
  <si>
    <t>FV1[1][9][2]</t>
  </si>
  <si>
    <t>FV1[2][9][2]</t>
  </si>
  <si>
    <t>FV1[3][9][2]</t>
  </si>
  <si>
    <t>FV1[4][9][2]</t>
  </si>
  <si>
    <t>FV1[5][9][2]</t>
  </si>
  <si>
    <t>FV1[0][9][3]</t>
  </si>
  <si>
    <t>FV1[1][9][3]</t>
  </si>
  <si>
    <t>FV1[2][9][3]</t>
  </si>
  <si>
    <t>FV1[3][9][3]</t>
  </si>
  <si>
    <t>FV1[4][9][3]</t>
  </si>
  <si>
    <t>FV1[5][9][3]</t>
  </si>
  <si>
    <t>FV1[0][9][4]</t>
  </si>
  <si>
    <t>FV1[1][9][4]</t>
  </si>
  <si>
    <t>FV1[2][9][4]</t>
  </si>
  <si>
    <t>FV1[3][9][4]</t>
  </si>
  <si>
    <t>FV1[4][9][4]</t>
  </si>
  <si>
    <t>FV1[5][9][4]</t>
  </si>
  <si>
    <t>FV1[0][9][5]</t>
  </si>
  <si>
    <t>FV1[1][9][5]</t>
  </si>
  <si>
    <t>FV1[2][9][5]</t>
  </si>
  <si>
    <t>FV1[3][9][5]</t>
  </si>
  <si>
    <t>FV1[4][9][5]</t>
  </si>
  <si>
    <t>FV1[5][9][5]</t>
  </si>
  <si>
    <t>FV1[0][9][6]</t>
  </si>
  <si>
    <t>FV1[1][9][6]</t>
  </si>
  <si>
    <t>FV1[2][9][6]</t>
  </si>
  <si>
    <t>FV1[3][9][6]</t>
  </si>
  <si>
    <t>FV1[4][9][6]</t>
  </si>
  <si>
    <t>FV1[5][9][6]</t>
  </si>
  <si>
    <t>FV1[0][9][7]</t>
  </si>
  <si>
    <t>FV1[1][9][7]</t>
  </si>
  <si>
    <t>FV1[2][9][7]</t>
  </si>
  <si>
    <t>FV1[3][9][7]</t>
  </si>
  <si>
    <t>FV1[4][9][7]</t>
  </si>
  <si>
    <t>FV1[5][9][7]</t>
  </si>
  <si>
    <t>FV1[0][9][8]</t>
  </si>
  <si>
    <t>FV1[1][9][8]</t>
  </si>
  <si>
    <t>FV1[2][9][8]</t>
  </si>
  <si>
    <t>FV1[3][9][8]</t>
  </si>
  <si>
    <t>FV1[4][9][8]</t>
  </si>
  <si>
    <t>FV1[5][9][8]</t>
  </si>
  <si>
    <t>FV1[0][9][9]</t>
  </si>
  <si>
    <t>FV1[1][9][9]</t>
  </si>
  <si>
    <t>FV1[2][9][9]</t>
  </si>
  <si>
    <t>FV1[3][9][9]</t>
  </si>
  <si>
    <t>FV1[4][9][9]</t>
  </si>
  <si>
    <t>FV1[5][9][9]</t>
  </si>
  <si>
    <t>FV1[0][9][10]</t>
  </si>
  <si>
    <t>FV1[1][9][10]</t>
  </si>
  <si>
    <t>FV1[2][9][10]</t>
  </si>
  <si>
    <t>FV1[3][9][10]</t>
  </si>
  <si>
    <t>FV1[4][9][10]</t>
  </si>
  <si>
    <t>FV1[5][9][10]</t>
  </si>
  <si>
    <t>FV1[0][9][11]</t>
  </si>
  <si>
    <t>FV1[1][9][11]</t>
  </si>
  <si>
    <t>FV1[2][9][11]</t>
  </si>
  <si>
    <t>FV1[3][9][11]</t>
  </si>
  <si>
    <t>FV1[4][9][11]</t>
  </si>
  <si>
    <t>FV1[5][9][11]</t>
  </si>
  <si>
    <t>FV1[0][10][0]</t>
  </si>
  <si>
    <t>FV1[1][10][0]</t>
  </si>
  <si>
    <t>FV1[2][10][0]</t>
  </si>
  <si>
    <t>FV1[3][10][0]</t>
  </si>
  <si>
    <t>FV1[4][10][0]</t>
  </si>
  <si>
    <t>FV1[5][10][0]</t>
  </si>
  <si>
    <t>FV1[0][10][1]</t>
  </si>
  <si>
    <t>FV1[1][10][1]</t>
  </si>
  <si>
    <t>FV1[2][10][1]</t>
  </si>
  <si>
    <t>FV1[3][10][1]</t>
  </si>
  <si>
    <t>FV1[4][10][1]</t>
  </si>
  <si>
    <t>FV1[5][10][1]</t>
  </si>
  <si>
    <t>FV1[0][10][2]</t>
  </si>
  <si>
    <t>FV1[1][10][2]</t>
  </si>
  <si>
    <t>FV1[2][10][2]</t>
  </si>
  <si>
    <t>FV1[3][10][2]</t>
  </si>
  <si>
    <t>FV1[4][10][2]</t>
  </si>
  <si>
    <t>FV1[5][10][2]</t>
  </si>
  <si>
    <t>FV1[0][10][3]</t>
  </si>
  <si>
    <t>FV1[1][10][3]</t>
  </si>
  <si>
    <t>FV1[2][10][3]</t>
  </si>
  <si>
    <t>FV1[3][10][3]</t>
  </si>
  <si>
    <t>FV1[4][10][3]</t>
  </si>
  <si>
    <t>FV1[5][10][3]</t>
  </si>
  <si>
    <t>FV1[0][10][4]</t>
  </si>
  <si>
    <t>FV1[1][10][4]</t>
  </si>
  <si>
    <t>FV1[2][10][4]</t>
  </si>
  <si>
    <t>FV1[3][10][4]</t>
  </si>
  <si>
    <t>FV1[4][10][4]</t>
  </si>
  <si>
    <t>FV1[5][10][4]</t>
  </si>
  <si>
    <t>FV1[0][10][5]</t>
  </si>
  <si>
    <t>FV1[1][10][5]</t>
  </si>
  <si>
    <t>FV1[2][10][5]</t>
  </si>
  <si>
    <t>FV1[3][10][5]</t>
  </si>
  <si>
    <t>FV1[4][10][5]</t>
  </si>
  <si>
    <t>FV1[5][10][5]</t>
  </si>
  <si>
    <t>FV1[0][10][6]</t>
  </si>
  <si>
    <t>FV1[1][10][6]</t>
  </si>
  <si>
    <t>FV1[2][10][6]</t>
  </si>
  <si>
    <t>FV1[3][10][6]</t>
  </si>
  <si>
    <t>FV1[4][10][6]</t>
  </si>
  <si>
    <t>FV1[5][10][6]</t>
  </si>
  <si>
    <t>FV1[0][10][7]</t>
  </si>
  <si>
    <t>FV1[1][10][7]</t>
  </si>
  <si>
    <t>FV1[2][10][7]</t>
  </si>
  <si>
    <t>FV1[3][10][7]</t>
  </si>
  <si>
    <t>FV1[4][10][7]</t>
  </si>
  <si>
    <t>FV1[5][10][7]</t>
  </si>
  <si>
    <t>FV1[0][10][8]</t>
  </si>
  <si>
    <t>FV1[1][10][8]</t>
  </si>
  <si>
    <t>FV1[2][10][8]</t>
  </si>
  <si>
    <t>FV1[3][10][8]</t>
  </si>
  <si>
    <t>FV1[4][10][8]</t>
  </si>
  <si>
    <t>FV1[5][10][8]</t>
  </si>
  <si>
    <t>FV1[0][10][9]</t>
  </si>
  <si>
    <t>FV1[1][10][9]</t>
  </si>
  <si>
    <t>FV1[2][10][9]</t>
  </si>
  <si>
    <t>FV1[3][10][9]</t>
  </si>
  <si>
    <t>FV1[4][10][9]</t>
  </si>
  <si>
    <t>FV1[5][10][9]</t>
  </si>
  <si>
    <t>FV1[0][10][10]</t>
  </si>
  <si>
    <t>FV1[1][10][10]</t>
  </si>
  <si>
    <t>FV1[2][10][10]</t>
  </si>
  <si>
    <t>FV1[3][10][10]</t>
  </si>
  <si>
    <t>FV1[4][10][10]</t>
  </si>
  <si>
    <t>FV1[5][10][10]</t>
  </si>
  <si>
    <t>FV1[0][10][11]</t>
  </si>
  <si>
    <t>FV1[1][10][11]</t>
  </si>
  <si>
    <t>FV1[2][10][11]</t>
  </si>
  <si>
    <t>FV1[3][10][11]</t>
  </si>
  <si>
    <t>FV1[4][10][11]</t>
  </si>
  <si>
    <t>FV1[5][10][11]</t>
  </si>
  <si>
    <t>FV1[0][11][0]</t>
  </si>
  <si>
    <t>FV1[1][11][0]</t>
  </si>
  <si>
    <t>FV1[2][11][0]</t>
  </si>
  <si>
    <t>FV1[3][11][0]</t>
  </si>
  <si>
    <t>FV1[4][11][0]</t>
  </si>
  <si>
    <t>FV1[5][11][0]</t>
  </si>
  <si>
    <t>FV1[0][11][1]</t>
  </si>
  <si>
    <t>FV1[1][11][1]</t>
  </si>
  <si>
    <t>FV1[2][11][1]</t>
  </si>
  <si>
    <t>FV1[3][11][1]</t>
  </si>
  <si>
    <t>FV1[4][11][1]</t>
  </si>
  <si>
    <t>FV1[5][11][1]</t>
  </si>
  <si>
    <t>FV1[0][11][2]</t>
  </si>
  <si>
    <t>FV1[1][11][2]</t>
  </si>
  <si>
    <t>FV1[2][11][2]</t>
  </si>
  <si>
    <t>FV1[3][11][2]</t>
  </si>
  <si>
    <t>FV1[4][11][2]</t>
  </si>
  <si>
    <t>FV1[5][11][2]</t>
  </si>
  <si>
    <t>FV1[0][11][3]</t>
  </si>
  <si>
    <t>FV1[1][11][3]</t>
  </si>
  <si>
    <t>FV1[2][11][3]</t>
  </si>
  <si>
    <t>FV1[3][11][3]</t>
  </si>
  <si>
    <t>FV1[4][11][3]</t>
  </si>
  <si>
    <t>FV1[5][11][3]</t>
  </si>
  <si>
    <t>FV1[0][11][4]</t>
  </si>
  <si>
    <t>FV1[1][11][4]</t>
  </si>
  <si>
    <t>FV1[2][11][4]</t>
  </si>
  <si>
    <t>FV1[3][11][4]</t>
  </si>
  <si>
    <t>FV1[4][11][4]</t>
  </si>
  <si>
    <t>FV1[5][11][4]</t>
  </si>
  <si>
    <t>FV1[0][11][5]</t>
  </si>
  <si>
    <t>FV1[1][11][5]</t>
  </si>
  <si>
    <t>FV1[2][11][5]</t>
  </si>
  <si>
    <t>FV1[3][11][5]</t>
  </si>
  <si>
    <t>FV1[4][11][5]</t>
  </si>
  <si>
    <t>FV1[5][11][5]</t>
  </si>
  <si>
    <t>FV1[0][11][6]</t>
  </si>
  <si>
    <t>FV1[1][11][6]</t>
  </si>
  <si>
    <t>FV1[2][11][6]</t>
  </si>
  <si>
    <t>FV1[3][11][6]</t>
  </si>
  <si>
    <t>FV1[4][11][6]</t>
  </si>
  <si>
    <t>FV1[5][11][6]</t>
  </si>
  <si>
    <t>FV1[0][11][7]</t>
  </si>
  <si>
    <t>FV1[1][11][7]</t>
  </si>
  <si>
    <t>FV1[2][11][7]</t>
  </si>
  <si>
    <t>FV1[3][11][7]</t>
  </si>
  <si>
    <t>FV1[4][11][7]</t>
  </si>
  <si>
    <t>FV1[5][11][7]</t>
  </si>
  <si>
    <t>FV1[0][11][8]</t>
  </si>
  <si>
    <t>FV1[1][11][8]</t>
  </si>
  <si>
    <t>FV1[2][11][8]</t>
  </si>
  <si>
    <t>FV1[3][11][8]</t>
  </si>
  <si>
    <t>FV1[4][11][8]</t>
  </si>
  <si>
    <t>FV1[5][11][8]</t>
  </si>
  <si>
    <t>FV1[0][11][9]</t>
  </si>
  <si>
    <t>FV1[1][11][9]</t>
  </si>
  <si>
    <t>FV1[2][11][9]</t>
  </si>
  <si>
    <t>FV1[3][11][9]</t>
  </si>
  <si>
    <t>FV1[4][11][9]</t>
  </si>
  <si>
    <t>FV1[5][11][9]</t>
  </si>
  <si>
    <t>FV1[0][11][10]</t>
  </si>
  <si>
    <t>FV1[1][11][10]</t>
  </si>
  <si>
    <t>FV1[2][11][10]</t>
  </si>
  <si>
    <t>FV1[3][11][10]</t>
  </si>
  <si>
    <t>FV1[4][11][10]</t>
  </si>
  <si>
    <t>FV1[5][11][10]</t>
  </si>
  <si>
    <t>FV1[0][11][11]</t>
  </si>
  <si>
    <t>FV1[1][11][11]</t>
  </si>
  <si>
    <t>FV1[2][11][11]</t>
  </si>
  <si>
    <t>FV1[3][11][11]</t>
  </si>
  <si>
    <t>FV1[4][11][11]</t>
  </si>
  <si>
    <t>FV1[5][11][11]</t>
  </si>
  <si>
    <t>out_address</t>
  </si>
  <si>
    <t>value</t>
  </si>
  <si>
    <t>x = out_address /16 +1</t>
  </si>
  <si>
    <t>mem_# = out_address % 16 +1</t>
  </si>
  <si>
    <t>in_address</t>
  </si>
  <si>
    <t>x = 4*((in_address-1)%4)+(in_address-1)/4+1</t>
  </si>
  <si>
    <t>filter_7</t>
  </si>
  <si>
    <t>filter_8</t>
  </si>
  <si>
    <t>filter_9</t>
  </si>
  <si>
    <t>filter_10</t>
  </si>
  <si>
    <t>filter_11</t>
  </si>
  <si>
    <t>filter_12</t>
  </si>
  <si>
    <t>filter_13</t>
  </si>
  <si>
    <t>filter_14</t>
  </si>
  <si>
    <t>filter_15</t>
  </si>
  <si>
    <t>filter_16</t>
  </si>
  <si>
    <t>FV2[0][0][0]</t>
  </si>
  <si>
    <t>FV2[1][0][0]</t>
  </si>
  <si>
    <t>FV2[2][0][0]</t>
  </si>
  <si>
    <t>FV2[3][0][0]</t>
  </si>
  <si>
    <t>FV2[4][0][0]</t>
  </si>
  <si>
    <t>FV2[5][0][0]</t>
  </si>
  <si>
    <t>FV2[6][0][0]</t>
  </si>
  <si>
    <t>FV2[7][0][0]</t>
  </si>
  <si>
    <t>FV2[8][0][0]</t>
  </si>
  <si>
    <t>FV2[9][0][0]</t>
  </si>
  <si>
    <t>FV2[10][0][0]</t>
  </si>
  <si>
    <t>FV2[11][0][0]</t>
  </si>
  <si>
    <t>FV2[12][0][0]</t>
  </si>
  <si>
    <t>FV2[13][0][0]</t>
  </si>
  <si>
    <t>FV2[14][0][0]</t>
  </si>
  <si>
    <t>FV2[15][0][0]</t>
  </si>
  <si>
    <t>FV2[0][0][1]</t>
  </si>
  <si>
    <t>FV2[1][0][1]</t>
  </si>
  <si>
    <t>FV2[2][0][1]</t>
  </si>
  <si>
    <t>FV2[3][0][1]</t>
  </si>
  <si>
    <t>FV2[4][0][1]</t>
  </si>
  <si>
    <t>FV2[5][0][1]</t>
  </si>
  <si>
    <t>FV2[6][0][1]</t>
  </si>
  <si>
    <t>FV2[7][0][1]</t>
  </si>
  <si>
    <t>FV2[8][0][1]</t>
  </si>
  <si>
    <t>FV2[9][0][1]</t>
  </si>
  <si>
    <t>FV2[10][0][1]</t>
  </si>
  <si>
    <t>FV2[11][0][1]</t>
  </si>
  <si>
    <t>FV2[12][0][1]</t>
  </si>
  <si>
    <t>FV2[13][0][1]</t>
  </si>
  <si>
    <t>FV2[14][0][1]</t>
  </si>
  <si>
    <t>FV2[15][0][1]</t>
  </si>
  <si>
    <t>FV2[0][0][2]</t>
  </si>
  <si>
    <t>FV2[1][0][2]</t>
  </si>
  <si>
    <t>FV2[2][0][2]</t>
  </si>
  <si>
    <t>FV2[3][0][2]</t>
  </si>
  <si>
    <t>FV2[4][0][2]</t>
  </si>
  <si>
    <t>FV2[5][0][2]</t>
  </si>
  <si>
    <t>FV2[6][0][2]</t>
  </si>
  <si>
    <t>FV2[7][0][2]</t>
  </si>
  <si>
    <t>FV2[8][0][2]</t>
  </si>
  <si>
    <t>FV2[9][0][2]</t>
  </si>
  <si>
    <t>FV2[10][0][2]</t>
  </si>
  <si>
    <t>FV2[11][0][2]</t>
  </si>
  <si>
    <t>FV2[12][0][2]</t>
  </si>
  <si>
    <t>FV2[13][0][2]</t>
  </si>
  <si>
    <t>FV2[14][0][2]</t>
  </si>
  <si>
    <t>FV2[15][0][2]</t>
  </si>
  <si>
    <t>FV2[0][0][3]</t>
  </si>
  <si>
    <t>FV2[1][0][3]</t>
  </si>
  <si>
    <t>FV2[2][0][3]</t>
  </si>
  <si>
    <t>FV2[3][0][3]</t>
  </si>
  <si>
    <t>FV2[4][0][3]</t>
  </si>
  <si>
    <t>FV2[5][0][3]</t>
  </si>
  <si>
    <t>FV2[6][0][3]</t>
  </si>
  <si>
    <t>FV2[7][0][3]</t>
  </si>
  <si>
    <t>FV2[8][0][3]</t>
  </si>
  <si>
    <t>FV2[9][0][3]</t>
  </si>
  <si>
    <t>FV2[10][0][3]</t>
  </si>
  <si>
    <t>FV2[11][0][3]</t>
  </si>
  <si>
    <t>FV2[12][0][3]</t>
  </si>
  <si>
    <t>FV2[13][0][3]</t>
  </si>
  <si>
    <t>FV2[14][0][3]</t>
  </si>
  <si>
    <t>FV2[15][0][3]</t>
  </si>
  <si>
    <t>FV2[0][1][0]</t>
  </si>
  <si>
    <t>FV2[1][1][0]</t>
  </si>
  <si>
    <t>FV2[2][1][0]</t>
  </si>
  <si>
    <t>FV2[3][1][0]</t>
  </si>
  <si>
    <t>FV2[4][1][0]</t>
  </si>
  <si>
    <t>FV2[5][1][0]</t>
  </si>
  <si>
    <t>FV2[6][1][0]</t>
  </si>
  <si>
    <t>FV2[7][1][0]</t>
  </si>
  <si>
    <t>FV2[8][1][0]</t>
  </si>
  <si>
    <t>FV2[9][1][0]</t>
  </si>
  <si>
    <t>FV2[10][1][0]</t>
  </si>
  <si>
    <t>FV2[11][1][0]</t>
  </si>
  <si>
    <t>FV2[12][1][0]</t>
  </si>
  <si>
    <t>FV2[13][1][0]</t>
  </si>
  <si>
    <t>FV2[14][1][0]</t>
  </si>
  <si>
    <t>FV2[15][1][0]</t>
  </si>
  <si>
    <t>FV2[0][1][1]</t>
  </si>
  <si>
    <t>FV2[1][1][1]</t>
  </si>
  <si>
    <t>FV2[2][1][1]</t>
  </si>
  <si>
    <t>FV2[3][1][1]</t>
  </si>
  <si>
    <t>FV2[4][1][1]</t>
  </si>
  <si>
    <t>FV2[5][1][1]</t>
  </si>
  <si>
    <t>FV2[6][1][1]</t>
  </si>
  <si>
    <t>FV2[7][1][1]</t>
  </si>
  <si>
    <t>FV2[8][1][1]</t>
  </si>
  <si>
    <t>FV2[9][1][1]</t>
  </si>
  <si>
    <t>FV2[10][1][1]</t>
  </si>
  <si>
    <t>FV2[11][1][1]</t>
  </si>
  <si>
    <t>FV2[12][1][1]</t>
  </si>
  <si>
    <t>FV2[13][1][1]</t>
  </si>
  <si>
    <t>FV2[14][1][1]</t>
  </si>
  <si>
    <t>FV2[15][1][1]</t>
  </si>
  <si>
    <t>FV2[0][1][2]</t>
  </si>
  <si>
    <t>FV2[1][1][2]</t>
  </si>
  <si>
    <t>FV2[2][1][2]</t>
  </si>
  <si>
    <t>FV2[3][1][2]</t>
  </si>
  <si>
    <t>FV2[4][1][2]</t>
  </si>
  <si>
    <t>FV2[5][1][2]</t>
  </si>
  <si>
    <t>FV2[6][1][2]</t>
  </si>
  <si>
    <t>FV2[7][1][2]</t>
  </si>
  <si>
    <t>FV2[8][1][2]</t>
  </si>
  <si>
    <t>FV2[9][1][2]</t>
  </si>
  <si>
    <t>FV2[10][1][2]</t>
  </si>
  <si>
    <t>FV2[11][1][2]</t>
  </si>
  <si>
    <t>FV2[12][1][2]</t>
  </si>
  <si>
    <t>FV2[13][1][2]</t>
  </si>
  <si>
    <t>FV2[14][1][2]</t>
  </si>
  <si>
    <t>FV2[15][1][2]</t>
  </si>
  <si>
    <t>FV2[0][1][3]</t>
  </si>
  <si>
    <t>FV2[1][1][3]</t>
  </si>
  <si>
    <t>FV2[2][1][3]</t>
  </si>
  <si>
    <t>FV2[3][1][3]</t>
  </si>
  <si>
    <t>FV2[4][1][3]</t>
  </si>
  <si>
    <t>FV2[5][1][3]</t>
  </si>
  <si>
    <t>FV2[6][1][3]</t>
  </si>
  <si>
    <t>FV2[7][1][3]</t>
  </si>
  <si>
    <t>FV2[8][1][3]</t>
  </si>
  <si>
    <t>FV2[9][1][3]</t>
  </si>
  <si>
    <t>FV2[10][1][3]</t>
  </si>
  <si>
    <t>FV2[11][1][3]</t>
  </si>
  <si>
    <t>FV2[12][1][3]</t>
  </si>
  <si>
    <t>FV2[13][1][3]</t>
  </si>
  <si>
    <t>FV2[14][1][3]</t>
  </si>
  <si>
    <t>FV2[15][1][3]</t>
  </si>
  <si>
    <t>FV2[0][2][0]</t>
  </si>
  <si>
    <t>FV2[1][2][0]</t>
  </si>
  <si>
    <t>FV2[2][2][0]</t>
  </si>
  <si>
    <t>FV2[3][2][0]</t>
  </si>
  <si>
    <t>FV2[4][2][0]</t>
  </si>
  <si>
    <t>FV2[5][2][0]</t>
  </si>
  <si>
    <t>FV2[6][2][0]</t>
  </si>
  <si>
    <t>FV2[7][2][0]</t>
  </si>
  <si>
    <t>FV2[8][2][0]</t>
  </si>
  <si>
    <t>FV2[9][2][0]</t>
  </si>
  <si>
    <t>FV2[10][2][0]</t>
  </si>
  <si>
    <t>FV2[11][2][0]</t>
  </si>
  <si>
    <t>FV2[12][2][0]</t>
  </si>
  <si>
    <t>FV2[13][2][0]</t>
  </si>
  <si>
    <t>FV2[14][2][0]</t>
  </si>
  <si>
    <t>FV2[15][2][0]</t>
  </si>
  <si>
    <t>FV2[0][2][1]</t>
  </si>
  <si>
    <t>FV2[1][2][1]</t>
  </si>
  <si>
    <t>FV2[2][2][1]</t>
  </si>
  <si>
    <t>FV2[3][2][1]</t>
  </si>
  <si>
    <t>FV2[4][2][1]</t>
  </si>
  <si>
    <t>FV2[5][2][1]</t>
  </si>
  <si>
    <t>FV2[6][2][1]</t>
  </si>
  <si>
    <t>FV2[7][2][1]</t>
  </si>
  <si>
    <t>FV2[8][2][1]</t>
  </si>
  <si>
    <t>FV2[9][2][1]</t>
  </si>
  <si>
    <t>FV2[10][2][1]</t>
  </si>
  <si>
    <t>FV2[11][2][1]</t>
  </si>
  <si>
    <t>FV2[12][2][1]</t>
  </si>
  <si>
    <t>FV2[13][2][1]</t>
  </si>
  <si>
    <t>FV2[14][2][1]</t>
  </si>
  <si>
    <t>FV2[15][2][1]</t>
  </si>
  <si>
    <t>FV2[0][2][2]</t>
  </si>
  <si>
    <t>FV2[1][2][2]</t>
  </si>
  <si>
    <t>FV2[2][2][2]</t>
  </si>
  <si>
    <t>FV2[3][2][2]</t>
  </si>
  <si>
    <t>FV2[4][2][2]</t>
  </si>
  <si>
    <t>FV2[5][2][2]</t>
  </si>
  <si>
    <t>FV2[6][2][2]</t>
  </si>
  <si>
    <t>FV2[7][2][2]</t>
  </si>
  <si>
    <t>FV2[8][2][2]</t>
  </si>
  <si>
    <t>FV2[9][2][2]</t>
  </si>
  <si>
    <t>FV2[10][2][2]</t>
  </si>
  <si>
    <t>FV2[11][2][2]</t>
  </si>
  <si>
    <t>FV2[12][2][2]</t>
  </si>
  <si>
    <t>FV2[13][2][2]</t>
  </si>
  <si>
    <t>FV2[14][2][2]</t>
  </si>
  <si>
    <t>FV2[15][2][2]</t>
  </si>
  <si>
    <t>FV2[0][2][3]</t>
  </si>
  <si>
    <t>FV2[1][2][3]</t>
  </si>
  <si>
    <t>FV2[2][2][3]</t>
  </si>
  <si>
    <t>FV2[3][2][3]</t>
  </si>
  <si>
    <t>FV2[4][2][3]</t>
  </si>
  <si>
    <t>FV2[5][2][3]</t>
  </si>
  <si>
    <t>FV2[6][2][3]</t>
  </si>
  <si>
    <t>FV2[7][2][3]</t>
  </si>
  <si>
    <t>FV2[8][2][3]</t>
  </si>
  <si>
    <t>FV2[9][2][3]</t>
  </si>
  <si>
    <t>FV2[10][2][3]</t>
  </si>
  <si>
    <t>FV2[11][2][3]</t>
  </si>
  <si>
    <t>FV2[12][2][3]</t>
  </si>
  <si>
    <t>FV2[13][2][3]</t>
  </si>
  <si>
    <t>FV2[14][2][3]</t>
  </si>
  <si>
    <t>FV2[15][2][3]</t>
  </si>
  <si>
    <t>FV2[0][3][0]</t>
  </si>
  <si>
    <t>FV2[1][3][0]</t>
  </si>
  <si>
    <t>FV2[2][3][0]</t>
  </si>
  <si>
    <t>FV2[3][3][0]</t>
  </si>
  <si>
    <t>FV2[4][3][0]</t>
  </si>
  <si>
    <t>FV2[5][3][0]</t>
  </si>
  <si>
    <t>FV2[6][3][0]</t>
  </si>
  <si>
    <t>FV2[7][3][0]</t>
  </si>
  <si>
    <t>FV2[8][3][0]</t>
  </si>
  <si>
    <t>FV2[9][3][0]</t>
  </si>
  <si>
    <t>FV2[10][3][0]</t>
  </si>
  <si>
    <t>FV2[11][3][0]</t>
  </si>
  <si>
    <t>FV2[12][3][0]</t>
  </si>
  <si>
    <t>FV2[13][3][0]</t>
  </si>
  <si>
    <t>FV2[14][3][0]</t>
  </si>
  <si>
    <t>FV2[15][3][0]</t>
  </si>
  <si>
    <t>FV2[0][3][1]</t>
  </si>
  <si>
    <t>FV2[1][3][1]</t>
  </si>
  <si>
    <t>FV2[2][3][1]</t>
  </si>
  <si>
    <t>FV2[3][3][1]</t>
  </si>
  <si>
    <t>FV2[4][3][1]</t>
  </si>
  <si>
    <t>FV2[5][3][1]</t>
  </si>
  <si>
    <t>FV2[6][3][1]</t>
  </si>
  <si>
    <t>FV2[7][3][1]</t>
  </si>
  <si>
    <t>FV2[8][3][1]</t>
  </si>
  <si>
    <t>FV2[9][3][1]</t>
  </si>
  <si>
    <t>FV2[10][3][1]</t>
  </si>
  <si>
    <t>FV2[11][3][1]</t>
  </si>
  <si>
    <t>FV2[12][3][1]</t>
  </si>
  <si>
    <t>FV2[13][3][1]</t>
  </si>
  <si>
    <t>FV2[14][3][1]</t>
  </si>
  <si>
    <t>FV2[15][3][1]</t>
  </si>
  <si>
    <t>FV2[0][3][2]</t>
  </si>
  <si>
    <t>FV2[1][3][2]</t>
  </si>
  <si>
    <t>FV2[2][3][2]</t>
  </si>
  <si>
    <t>FV2[3][3][2]</t>
  </si>
  <si>
    <t>FV2[4][3][2]</t>
  </si>
  <si>
    <t>FV2[5][3][2]</t>
  </si>
  <si>
    <t>FV2[6][3][2]</t>
  </si>
  <si>
    <t>FV2[7][3][2]</t>
  </si>
  <si>
    <t>FV2[8][3][2]</t>
  </si>
  <si>
    <t>FV2[9][3][2]</t>
  </si>
  <si>
    <t>FV2[10][3][2]</t>
  </si>
  <si>
    <t>FV2[11][3][2]</t>
  </si>
  <si>
    <t>FV2[12][3][2]</t>
  </si>
  <si>
    <t>FV2[13][3][2]</t>
  </si>
  <si>
    <t>FV2[14][3][2]</t>
  </si>
  <si>
    <t>FV2[15][3][2]</t>
  </si>
  <si>
    <t>FV2[0][3][3]</t>
  </si>
  <si>
    <t>FV2[1][3][3]</t>
  </si>
  <si>
    <t>FV2[2][3][3]</t>
  </si>
  <si>
    <t>FV2[3][3][3]</t>
  </si>
  <si>
    <t>FV2[4][3][3]</t>
  </si>
  <si>
    <t>FV2[5][3][3]</t>
  </si>
  <si>
    <t>FV2[6][3][3]</t>
  </si>
  <si>
    <t>FV2[7][3][3]</t>
  </si>
  <si>
    <t>FV2[8][3][3]</t>
  </si>
  <si>
    <t>FV2[9][3][3]</t>
  </si>
  <si>
    <t>FV2[10][3][3]</t>
  </si>
  <si>
    <t>FV2[11][3][3]</t>
  </si>
  <si>
    <t>FV2[12][3][3]</t>
  </si>
  <si>
    <t>FV2[13][3][3]</t>
  </si>
  <si>
    <t>FV2[14][3][3]</t>
  </si>
  <si>
    <t>FV2[15][3][3]</t>
  </si>
  <si>
    <t>Address</t>
  </si>
  <si>
    <t>FV[0][ i ]</t>
  </si>
  <si>
    <t>FV[0][0]</t>
  </si>
  <si>
    <t>FV[0][1]</t>
  </si>
  <si>
    <t>FV[0][2]</t>
  </si>
  <si>
    <t>FV[0][3]</t>
  </si>
  <si>
    <t>FV[0][4]</t>
  </si>
  <si>
    <t>FV[0][5]</t>
  </si>
  <si>
    <t>FV[0][6]</t>
  </si>
  <si>
    <t>FV[0][7]</t>
  </si>
  <si>
    <t>FV[0][8]</t>
  </si>
  <si>
    <t>FV[0][9]</t>
  </si>
  <si>
    <t>FV[0][10]</t>
  </si>
  <si>
    <t>FV[0][11]</t>
  </si>
  <si>
    <t>FV[0][12]</t>
  </si>
  <si>
    <t>FV[0][13]</t>
  </si>
  <si>
    <t>FV[0][14]</t>
  </si>
  <si>
    <t>FV[0][15]</t>
  </si>
  <si>
    <t>FV[0][16]</t>
  </si>
  <si>
    <t>FV[0][17]</t>
  </si>
  <si>
    <t>FV[0][18]</t>
  </si>
  <si>
    <t>FV[0][19]</t>
  </si>
  <si>
    <t>FV[0][20]</t>
  </si>
  <si>
    <t>FV[0][21]</t>
  </si>
  <si>
    <t>FV[0][22]</t>
  </si>
  <si>
    <t>FV[0][23]</t>
  </si>
  <si>
    <t>FV[0][24]</t>
  </si>
  <si>
    <t>FV[0][25]</t>
  </si>
  <si>
    <t>FV[0][26]</t>
  </si>
  <si>
    <t>FV[0][27]</t>
  </si>
  <si>
    <t>FV[0][28]</t>
  </si>
  <si>
    <t>FV[0][29]</t>
  </si>
  <si>
    <t>FV[0][30]</t>
  </si>
  <si>
    <t>FV[0][31]</t>
  </si>
  <si>
    <t>FV[0][32]</t>
  </si>
  <si>
    <t>FV[0][33]</t>
  </si>
  <si>
    <t>FV[0][34]</t>
  </si>
  <si>
    <t>FV[0][35]</t>
  </si>
  <si>
    <t>FV[0][36]</t>
  </si>
  <si>
    <t>FV[0][37]</t>
  </si>
  <si>
    <t>FV[0][38]</t>
  </si>
  <si>
    <t>FV[0][39]</t>
  </si>
  <si>
    <t>FV[0][40]</t>
  </si>
  <si>
    <t>FV[0][41]</t>
  </si>
  <si>
    <t>FV[0][42]</t>
  </si>
  <si>
    <t>FV[0][43]</t>
  </si>
  <si>
    <t>FV[0][44]</t>
  </si>
  <si>
    <t>FV[0][45]</t>
  </si>
  <si>
    <t>FV[0][46]</t>
  </si>
  <si>
    <t>FV[0][47]</t>
  </si>
  <si>
    <t>FV[0][48]</t>
  </si>
  <si>
    <t>FV[0][49]</t>
  </si>
  <si>
    <t>FV[0][50]</t>
  </si>
  <si>
    <t>FV[0][51]</t>
  </si>
  <si>
    <t>FV[0][52]</t>
  </si>
  <si>
    <t>FV[0][53]</t>
  </si>
  <si>
    <t>FV[0][54]</t>
  </si>
  <si>
    <t>FV[0][55]</t>
  </si>
  <si>
    <t>FV[0][56]</t>
  </si>
  <si>
    <t>FV[0][57]</t>
  </si>
  <si>
    <t>FV[0][58]</t>
  </si>
  <si>
    <t>FV[0][59]</t>
  </si>
  <si>
    <t>FV[0][60]</t>
  </si>
  <si>
    <t>FV[0][61]</t>
  </si>
  <si>
    <t>FV[0][62]</t>
  </si>
  <si>
    <t>FV[0][63]</t>
  </si>
  <si>
    <t>FV[0][64]</t>
  </si>
  <si>
    <t>FV[0][65]</t>
  </si>
  <si>
    <t>FV[0][66]</t>
  </si>
  <si>
    <t>FV[0][67]</t>
  </si>
  <si>
    <t>FV[0][68]</t>
  </si>
  <si>
    <t>FV[0][69]</t>
  </si>
  <si>
    <t>FV[0][70]</t>
  </si>
  <si>
    <t>FV[0][71]</t>
  </si>
  <si>
    <t>FV[0][72]</t>
  </si>
  <si>
    <t>FV[0][73]</t>
  </si>
  <si>
    <t>FV[0][74]</t>
  </si>
  <si>
    <t>FV[0][75]</t>
  </si>
  <si>
    <t>FV[0][76]</t>
  </si>
  <si>
    <t>FV[0][77]</t>
  </si>
  <si>
    <t>FV[0][78]</t>
  </si>
  <si>
    <t>FV[0][79]</t>
  </si>
  <si>
    <t>FV[0][80]</t>
  </si>
  <si>
    <t>FV[0][81]</t>
  </si>
  <si>
    <t>FV[0][82]</t>
  </si>
  <si>
    <t>FV[0][83]</t>
  </si>
  <si>
    <t>FV[0][84]</t>
  </si>
  <si>
    <t>FV[0][85]</t>
  </si>
  <si>
    <t>FV[0][86]</t>
  </si>
  <si>
    <t>FV[0][87]</t>
  </si>
  <si>
    <t>FV[0][88]</t>
  </si>
  <si>
    <t>FV[0][89]</t>
  </si>
  <si>
    <t>FV[0][90]</t>
  </si>
  <si>
    <t>FV[0][91]</t>
  </si>
  <si>
    <t>FV[0][92]</t>
  </si>
  <si>
    <t>FV[0][93]</t>
  </si>
  <si>
    <t>FV[0][94]</t>
  </si>
  <si>
    <t>FV[0][95]</t>
  </si>
  <si>
    <t>FV[0][96]</t>
  </si>
  <si>
    <t>FV[0][97]</t>
  </si>
  <si>
    <t>FV[0][98]</t>
  </si>
  <si>
    <t>FV[0][99]</t>
  </si>
  <si>
    <t>FV[0][100]</t>
  </si>
  <si>
    <t>FV[0][101]</t>
  </si>
  <si>
    <t>FV[0][102]</t>
  </si>
  <si>
    <t>FV[0][103]</t>
  </si>
  <si>
    <t>FV[0][104]</t>
  </si>
  <si>
    <t>FV[0][105]</t>
  </si>
  <si>
    <t>FV[0][106]</t>
  </si>
  <si>
    <t>FV[0][107]</t>
  </si>
  <si>
    <t>FV[0][108]</t>
  </si>
  <si>
    <t>FV[0][109]</t>
  </si>
  <si>
    <t>FV[0][110]</t>
  </si>
  <si>
    <t>FV[0][111]</t>
  </si>
  <si>
    <t>FV[0][112]</t>
  </si>
  <si>
    <t>FV[0][113]</t>
  </si>
  <si>
    <t>FV[0][114]</t>
  </si>
  <si>
    <t>FV[0][115]</t>
  </si>
  <si>
    <t>FV[0][116]</t>
  </si>
  <si>
    <t>FV[0][117]</t>
  </si>
  <si>
    <t>FV[0][118]</t>
  </si>
  <si>
    <t>FV[0][119]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</si>
</sst>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rgb="FF000000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3" fontId="1" numFmtId="0" xfId="0" applyAlignment="1" applyFill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0" fillId="2" fontId="2" numFmtId="0" xfId="0" applyAlignment="1" applyFont="1">
      <alignment readingOrder="0"/>
    </xf>
    <xf borderId="0" fillId="3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wrapText="0"/>
    </xf>
    <xf borderId="0" fillId="3" fontId="2" numFmtId="0" xfId="0" applyAlignment="1" applyFont="1">
      <alignment readingOrder="0"/>
    </xf>
    <xf borderId="0" fillId="3" fontId="2" numFmtId="0" xfId="0" applyFont="1"/>
    <xf borderId="0" fillId="5" fontId="2" numFmtId="0" xfId="0" applyAlignment="1" applyFill="1" applyFont="1">
      <alignment readingOrder="0"/>
    </xf>
    <xf borderId="0" fillId="6" fontId="2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4876800" cy="34861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857250</xdr:colOff>
      <xdr:row>27</xdr:row>
      <xdr:rowOff>152400</xdr:rowOff>
    </xdr:from>
    <xdr:ext cx="8582025" cy="16573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3" max="3" width="29.88"/>
    <col customWidth="1" min="13" max="13" width="39.0"/>
    <col customWidth="1" min="14" max="14" width="14.75"/>
    <col customWidth="1" min="16" max="16" width="16.13"/>
  </cols>
  <sheetData>
    <row r="1">
      <c r="A1" s="1" t="s">
        <v>0</v>
      </c>
      <c r="B1" s="1" t="s">
        <v>1</v>
      </c>
      <c r="C1" s="2"/>
      <c r="D1" s="2"/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P1" s="4" t="s">
        <v>9</v>
      </c>
      <c r="Q1" s="4" t="s">
        <v>3</v>
      </c>
      <c r="R1" s="4" t="s">
        <v>4</v>
      </c>
      <c r="S1" s="4" t="s">
        <v>5</v>
      </c>
      <c r="T1" s="4" t="s">
        <v>6</v>
      </c>
      <c r="U1" s="4" t="s">
        <v>7</v>
      </c>
      <c r="V1" s="4" t="s">
        <v>8</v>
      </c>
    </row>
    <row r="2">
      <c r="A2" s="5">
        <v>0.0</v>
      </c>
      <c r="B2" s="6" t="s">
        <v>10</v>
      </c>
      <c r="C2" s="7"/>
      <c r="D2" s="7"/>
      <c r="E2" s="8">
        <v>0.0</v>
      </c>
      <c r="F2" s="8">
        <v>0.0</v>
      </c>
      <c r="G2" s="8">
        <v>0.0</v>
      </c>
      <c r="H2" s="8">
        <v>0.0</v>
      </c>
      <c r="I2" s="8">
        <v>0.0</v>
      </c>
      <c r="J2" s="8">
        <v>0.0</v>
      </c>
      <c r="K2" s="8">
        <v>0.0</v>
      </c>
      <c r="P2" s="9" t="str">
        <f t="array" ref="P2:P29">"input[i]["&amp;SEQUENCE(28,1,0,1)&amp;"]"</f>
        <v>input[i][0]</v>
      </c>
      <c r="Q2" s="8" t="s">
        <v>11</v>
      </c>
    </row>
    <row r="3">
      <c r="A3" s="10">
        <v>1.0</v>
      </c>
      <c r="B3" s="6" t="s">
        <v>12</v>
      </c>
      <c r="C3" s="6" t="s">
        <v>13</v>
      </c>
      <c r="D3" s="7"/>
      <c r="E3" s="8">
        <v>1.0</v>
      </c>
      <c r="F3" s="9" t="str">
        <f t="array" ref="F3:K14">"input[0][" &amp; (COLUMN(A1:F1)-COLUMN(A1) + 2*(ROW(O4:O15)-ROW(O4))) &amp; "]"</f>
        <v>input[0][0]</v>
      </c>
      <c r="G3" s="9" t="s">
        <v>12</v>
      </c>
      <c r="H3" s="9" t="s">
        <v>14</v>
      </c>
      <c r="I3" s="9" t="s">
        <v>15</v>
      </c>
      <c r="J3" s="9" t="s">
        <v>16</v>
      </c>
      <c r="K3" s="9" t="s">
        <v>17</v>
      </c>
      <c r="M3" s="8" t="s">
        <v>18</v>
      </c>
      <c r="N3" s="8" t="s">
        <v>19</v>
      </c>
      <c r="P3" s="9" t="s">
        <v>20</v>
      </c>
      <c r="R3" s="8" t="s">
        <v>11</v>
      </c>
    </row>
    <row r="4">
      <c r="A4" s="10">
        <v>2.0</v>
      </c>
      <c r="B4" s="6" t="s">
        <v>14</v>
      </c>
      <c r="C4" s="6" t="s">
        <v>21</v>
      </c>
      <c r="D4" s="7"/>
      <c r="E4" s="8">
        <v>2.0</v>
      </c>
      <c r="F4" s="9" t="s">
        <v>14</v>
      </c>
      <c r="G4" s="9" t="s">
        <v>15</v>
      </c>
      <c r="H4" s="9" t="s">
        <v>16</v>
      </c>
      <c r="I4" s="9" t="s">
        <v>17</v>
      </c>
      <c r="J4" s="9" t="s">
        <v>22</v>
      </c>
      <c r="K4" s="9" t="s">
        <v>23</v>
      </c>
      <c r="M4" s="11" t="str">
        <f t="array" ref="M4:M147">"FV1[n][" &amp; QUOTIENT(SEQUENCE(144, 1, 0), 12) &amp; "][" &amp; MOD(SEQUENCE(144, 1, 0), 12) &amp; "]"</f>
        <v>FV1[n][0][0]</v>
      </c>
      <c r="N4" s="9" t="str">
        <f t="array" ref="N4:N147">"input[" &amp; (2 * QUOTIENT(SEQUENCE(144, 1, 0), 12)) &amp; ":" &amp; (2 * QUOTIENT(SEQUENCE(144, 1, 0), 12) + 5) &amp; "]" &amp; "[" &amp; (2 * MOD(SEQUENCE(144, 1, 0), 12)) &amp; ":" &amp; (2 * MOD(SEQUENCE(144, 1, 0), 12) + 5) &amp; "]"</f>
        <v>input[0:5][0:5]</v>
      </c>
      <c r="P4" s="9" t="s">
        <v>24</v>
      </c>
      <c r="Q4" s="8" t="s">
        <v>25</v>
      </c>
      <c r="S4" s="8" t="s">
        <v>11</v>
      </c>
    </row>
    <row r="5">
      <c r="A5" s="10">
        <v>3.0</v>
      </c>
      <c r="B5" s="6" t="s">
        <v>15</v>
      </c>
      <c r="C5" s="7"/>
      <c r="D5" s="7"/>
      <c r="E5" s="8">
        <v>3.0</v>
      </c>
      <c r="F5" s="9" t="s">
        <v>16</v>
      </c>
      <c r="G5" s="9" t="s">
        <v>17</v>
      </c>
      <c r="H5" s="9" t="s">
        <v>22</v>
      </c>
      <c r="I5" s="9" t="s">
        <v>23</v>
      </c>
      <c r="J5" s="9" t="s">
        <v>26</v>
      </c>
      <c r="K5" s="9" t="s">
        <v>27</v>
      </c>
      <c r="M5" s="9" t="s">
        <v>28</v>
      </c>
      <c r="N5" s="9" t="s">
        <v>29</v>
      </c>
      <c r="P5" s="9" t="s">
        <v>30</v>
      </c>
      <c r="R5" s="8" t="s">
        <v>25</v>
      </c>
      <c r="T5" s="8" t="s">
        <v>11</v>
      </c>
    </row>
    <row r="6">
      <c r="A6" s="10">
        <v>4.0</v>
      </c>
      <c r="B6" s="6" t="s">
        <v>16</v>
      </c>
      <c r="C6" s="7"/>
      <c r="D6" s="7"/>
      <c r="E6" s="8">
        <v>4.0</v>
      </c>
      <c r="F6" s="9" t="s">
        <v>22</v>
      </c>
      <c r="G6" s="9" t="s">
        <v>23</v>
      </c>
      <c r="H6" s="9" t="s">
        <v>26</v>
      </c>
      <c r="I6" s="9" t="s">
        <v>27</v>
      </c>
      <c r="J6" s="9" t="s">
        <v>31</v>
      </c>
      <c r="K6" s="9" t="s">
        <v>32</v>
      </c>
      <c r="M6" s="9" t="s">
        <v>33</v>
      </c>
      <c r="N6" s="9" t="s">
        <v>34</v>
      </c>
      <c r="P6" s="9" t="s">
        <v>35</v>
      </c>
      <c r="Q6" s="8" t="s">
        <v>36</v>
      </c>
      <c r="S6" s="8" t="s">
        <v>25</v>
      </c>
      <c r="U6" s="8" t="s">
        <v>11</v>
      </c>
    </row>
    <row r="7">
      <c r="A7" s="10">
        <v>5.0</v>
      </c>
      <c r="B7" s="6" t="s">
        <v>17</v>
      </c>
      <c r="C7" s="7"/>
      <c r="D7" s="7"/>
      <c r="E7" s="8">
        <v>5.0</v>
      </c>
      <c r="F7" s="9" t="s">
        <v>26</v>
      </c>
      <c r="G7" s="9" t="s">
        <v>27</v>
      </c>
      <c r="H7" s="9" t="s">
        <v>31</v>
      </c>
      <c r="I7" s="9" t="s">
        <v>32</v>
      </c>
      <c r="J7" s="9" t="s">
        <v>37</v>
      </c>
      <c r="K7" s="9" t="s">
        <v>38</v>
      </c>
      <c r="M7" s="9" t="s">
        <v>39</v>
      </c>
      <c r="N7" s="9" t="s">
        <v>40</v>
      </c>
      <c r="P7" s="9" t="s">
        <v>41</v>
      </c>
      <c r="R7" s="8" t="s">
        <v>36</v>
      </c>
      <c r="T7" s="8" t="s">
        <v>25</v>
      </c>
      <c r="V7" s="8" t="s">
        <v>11</v>
      </c>
    </row>
    <row r="8">
      <c r="A8" s="10">
        <v>6.0</v>
      </c>
      <c r="B8" s="6" t="s">
        <v>22</v>
      </c>
      <c r="C8" s="7"/>
      <c r="D8" s="7"/>
      <c r="E8" s="8">
        <v>6.0</v>
      </c>
      <c r="F8" s="9" t="s">
        <v>31</v>
      </c>
      <c r="G8" s="9" t="s">
        <v>32</v>
      </c>
      <c r="H8" s="9" t="s">
        <v>37</v>
      </c>
      <c r="I8" s="9" t="s">
        <v>38</v>
      </c>
      <c r="J8" s="9" t="s">
        <v>42</v>
      </c>
      <c r="K8" s="9" t="s">
        <v>43</v>
      </c>
      <c r="M8" s="9" t="s">
        <v>44</v>
      </c>
      <c r="N8" s="9" t="s">
        <v>45</v>
      </c>
      <c r="P8" s="9" t="s">
        <v>46</v>
      </c>
      <c r="Q8" s="8" t="s">
        <v>47</v>
      </c>
      <c r="S8" s="8" t="s">
        <v>36</v>
      </c>
      <c r="U8" s="8" t="s">
        <v>25</v>
      </c>
    </row>
    <row r="9">
      <c r="A9" s="10">
        <v>7.0</v>
      </c>
      <c r="B9" s="6" t="s">
        <v>23</v>
      </c>
      <c r="C9" s="7"/>
      <c r="D9" s="7"/>
      <c r="E9" s="8">
        <v>7.0</v>
      </c>
      <c r="F9" s="9" t="s">
        <v>37</v>
      </c>
      <c r="G9" s="9" t="s">
        <v>38</v>
      </c>
      <c r="H9" s="9" t="s">
        <v>42</v>
      </c>
      <c r="I9" s="9" t="s">
        <v>43</v>
      </c>
      <c r="J9" s="9" t="s">
        <v>48</v>
      </c>
      <c r="K9" s="9" t="s">
        <v>49</v>
      </c>
      <c r="M9" s="9" t="s">
        <v>50</v>
      </c>
      <c r="N9" s="9" t="s">
        <v>51</v>
      </c>
      <c r="P9" s="9" t="s">
        <v>52</v>
      </c>
      <c r="R9" s="8" t="s">
        <v>47</v>
      </c>
      <c r="T9" s="8" t="s">
        <v>36</v>
      </c>
      <c r="V9" s="8" t="s">
        <v>25</v>
      </c>
    </row>
    <row r="10">
      <c r="A10" s="10">
        <v>8.0</v>
      </c>
      <c r="B10" s="6" t="s">
        <v>26</v>
      </c>
      <c r="C10" s="7"/>
      <c r="D10" s="7"/>
      <c r="E10" s="8">
        <v>8.0</v>
      </c>
      <c r="F10" s="9" t="s">
        <v>42</v>
      </c>
      <c r="G10" s="9" t="s">
        <v>43</v>
      </c>
      <c r="H10" s="9" t="s">
        <v>48</v>
      </c>
      <c r="I10" s="9" t="s">
        <v>49</v>
      </c>
      <c r="J10" s="9" t="s">
        <v>53</v>
      </c>
      <c r="K10" s="9" t="s">
        <v>54</v>
      </c>
      <c r="M10" s="9" t="s">
        <v>55</v>
      </c>
      <c r="N10" s="9" t="s">
        <v>56</v>
      </c>
      <c r="P10" s="9" t="s">
        <v>57</v>
      </c>
      <c r="Q10" s="8" t="s">
        <v>58</v>
      </c>
      <c r="S10" s="8" t="s">
        <v>47</v>
      </c>
      <c r="U10" s="8" t="s">
        <v>36</v>
      </c>
    </row>
    <row r="11">
      <c r="A11" s="10">
        <v>9.0</v>
      </c>
      <c r="B11" s="6" t="s">
        <v>27</v>
      </c>
      <c r="C11" s="7"/>
      <c r="D11" s="7"/>
      <c r="E11" s="8">
        <v>9.0</v>
      </c>
      <c r="F11" s="9" t="s">
        <v>48</v>
      </c>
      <c r="G11" s="9" t="s">
        <v>49</v>
      </c>
      <c r="H11" s="9" t="s">
        <v>53</v>
      </c>
      <c r="I11" s="9" t="s">
        <v>54</v>
      </c>
      <c r="J11" s="9" t="s">
        <v>59</v>
      </c>
      <c r="K11" s="9" t="s">
        <v>60</v>
      </c>
      <c r="M11" s="9" t="s">
        <v>61</v>
      </c>
      <c r="N11" s="9" t="s">
        <v>62</v>
      </c>
      <c r="P11" s="9" t="s">
        <v>63</v>
      </c>
      <c r="R11" s="8" t="s">
        <v>58</v>
      </c>
      <c r="T11" s="8" t="s">
        <v>47</v>
      </c>
      <c r="V11" s="8" t="s">
        <v>36</v>
      </c>
    </row>
    <row r="12">
      <c r="A12" s="10">
        <v>10.0</v>
      </c>
      <c r="B12" s="6" t="s">
        <v>31</v>
      </c>
      <c r="C12" s="7"/>
      <c r="D12" s="7"/>
      <c r="E12" s="8">
        <v>10.0</v>
      </c>
      <c r="F12" s="9" t="s">
        <v>53</v>
      </c>
      <c r="G12" s="9" t="s">
        <v>54</v>
      </c>
      <c r="H12" s="9" t="s">
        <v>59</v>
      </c>
      <c r="I12" s="9" t="s">
        <v>60</v>
      </c>
      <c r="J12" s="9" t="s">
        <v>64</v>
      </c>
      <c r="K12" s="9" t="s">
        <v>65</v>
      </c>
      <c r="M12" s="9" t="s">
        <v>66</v>
      </c>
      <c r="N12" s="9" t="s">
        <v>67</v>
      </c>
      <c r="P12" s="9" t="s">
        <v>68</v>
      </c>
      <c r="Q12" s="8" t="s">
        <v>69</v>
      </c>
      <c r="S12" s="8" t="s">
        <v>58</v>
      </c>
      <c r="U12" s="8" t="s">
        <v>47</v>
      </c>
    </row>
    <row r="13">
      <c r="A13" s="10">
        <v>11.0</v>
      </c>
      <c r="B13" s="6" t="s">
        <v>32</v>
      </c>
      <c r="C13" s="7"/>
      <c r="D13" s="7"/>
      <c r="E13" s="8">
        <v>11.0</v>
      </c>
      <c r="F13" s="9" t="s">
        <v>59</v>
      </c>
      <c r="G13" s="9" t="s">
        <v>60</v>
      </c>
      <c r="H13" s="9" t="s">
        <v>64</v>
      </c>
      <c r="I13" s="9" t="s">
        <v>65</v>
      </c>
      <c r="J13" s="9" t="s">
        <v>70</v>
      </c>
      <c r="K13" s="9" t="s">
        <v>71</v>
      </c>
      <c r="M13" s="9" t="s">
        <v>72</v>
      </c>
      <c r="N13" s="9" t="s">
        <v>73</v>
      </c>
      <c r="P13" s="9" t="s">
        <v>74</v>
      </c>
      <c r="R13" s="8" t="s">
        <v>69</v>
      </c>
      <c r="T13" s="8" t="s">
        <v>58</v>
      </c>
      <c r="V13" s="8" t="s">
        <v>47</v>
      </c>
    </row>
    <row r="14">
      <c r="A14" s="10">
        <v>12.0</v>
      </c>
      <c r="B14" s="6" t="s">
        <v>37</v>
      </c>
      <c r="C14" s="7"/>
      <c r="D14" s="7"/>
      <c r="E14" s="8">
        <v>12.0</v>
      </c>
      <c r="F14" s="9" t="s">
        <v>64</v>
      </c>
      <c r="G14" s="9" t="s">
        <v>65</v>
      </c>
      <c r="H14" s="9" t="s">
        <v>70</v>
      </c>
      <c r="I14" s="9" t="s">
        <v>71</v>
      </c>
      <c r="J14" s="9" t="s">
        <v>75</v>
      </c>
      <c r="K14" s="9" t="s">
        <v>76</v>
      </c>
      <c r="M14" s="9" t="s">
        <v>77</v>
      </c>
      <c r="N14" s="9" t="s">
        <v>78</v>
      </c>
      <c r="P14" s="9" t="s">
        <v>79</v>
      </c>
      <c r="Q14" s="8" t="s">
        <v>80</v>
      </c>
      <c r="S14" s="8" t="s">
        <v>69</v>
      </c>
      <c r="U14" s="8" t="s">
        <v>58</v>
      </c>
    </row>
    <row r="15">
      <c r="A15" s="10">
        <v>13.0</v>
      </c>
      <c r="B15" s="6" t="s">
        <v>38</v>
      </c>
      <c r="C15" s="7"/>
      <c r="D15" s="7"/>
      <c r="E15" s="8">
        <v>13.0</v>
      </c>
      <c r="F15" s="8">
        <v>0.0</v>
      </c>
      <c r="G15" s="8">
        <v>0.0</v>
      </c>
      <c r="H15" s="8">
        <v>0.0</v>
      </c>
      <c r="I15" s="8">
        <v>0.0</v>
      </c>
      <c r="J15" s="8">
        <v>0.0</v>
      </c>
      <c r="K15" s="8">
        <v>0.0</v>
      </c>
      <c r="M15" s="9" t="s">
        <v>81</v>
      </c>
      <c r="N15" s="9" t="s">
        <v>82</v>
      </c>
      <c r="P15" s="9" t="s">
        <v>83</v>
      </c>
      <c r="R15" s="8" t="s">
        <v>80</v>
      </c>
      <c r="T15" s="8" t="s">
        <v>69</v>
      </c>
      <c r="V15" s="8" t="s">
        <v>58</v>
      </c>
    </row>
    <row r="16">
      <c r="A16" s="10">
        <v>14.0</v>
      </c>
      <c r="B16" s="6" t="s">
        <v>42</v>
      </c>
      <c r="C16" s="7"/>
      <c r="D16" s="7"/>
      <c r="E16" s="8">
        <v>14.0</v>
      </c>
      <c r="F16" s="8">
        <v>0.0</v>
      </c>
      <c r="G16" s="8">
        <v>0.0</v>
      </c>
      <c r="H16" s="8">
        <v>0.0</v>
      </c>
      <c r="I16" s="8">
        <v>0.0</v>
      </c>
      <c r="J16" s="8">
        <v>0.0</v>
      </c>
      <c r="K16" s="8">
        <v>0.0</v>
      </c>
      <c r="M16" s="9" t="s">
        <v>84</v>
      </c>
      <c r="N16" s="9" t="s">
        <v>85</v>
      </c>
      <c r="P16" s="9" t="s">
        <v>86</v>
      </c>
      <c r="Q16" s="8" t="s">
        <v>87</v>
      </c>
      <c r="S16" s="8" t="s">
        <v>80</v>
      </c>
      <c r="U16" s="8" t="s">
        <v>69</v>
      </c>
    </row>
    <row r="17">
      <c r="A17" s="10">
        <v>15.0</v>
      </c>
      <c r="B17" s="6" t="s">
        <v>43</v>
      </c>
      <c r="C17" s="7"/>
      <c r="D17" s="7"/>
      <c r="E17" s="8">
        <v>15.0</v>
      </c>
      <c r="F17" s="8">
        <v>0.0</v>
      </c>
      <c r="G17" s="8">
        <v>0.0</v>
      </c>
      <c r="H17" s="8">
        <v>0.0</v>
      </c>
      <c r="I17" s="8">
        <v>0.0</v>
      </c>
      <c r="J17" s="8">
        <v>0.0</v>
      </c>
      <c r="K17" s="8">
        <v>0.0</v>
      </c>
      <c r="M17" s="9" t="s">
        <v>88</v>
      </c>
      <c r="N17" s="9" t="s">
        <v>89</v>
      </c>
      <c r="P17" s="9" t="s">
        <v>90</v>
      </c>
      <c r="R17" s="8" t="s">
        <v>87</v>
      </c>
      <c r="T17" s="8" t="s">
        <v>80</v>
      </c>
      <c r="V17" s="8" t="s">
        <v>69</v>
      </c>
    </row>
    <row r="18">
      <c r="A18" s="10">
        <v>16.0</v>
      </c>
      <c r="B18" s="6" t="s">
        <v>48</v>
      </c>
      <c r="C18" s="7"/>
      <c r="D18" s="7"/>
      <c r="E18" s="8">
        <v>16.0</v>
      </c>
      <c r="F18" s="8">
        <v>0.0</v>
      </c>
      <c r="G18" s="8">
        <v>0.0</v>
      </c>
      <c r="H18" s="8">
        <v>0.0</v>
      </c>
      <c r="I18" s="8">
        <v>0.0</v>
      </c>
      <c r="J18" s="8">
        <v>0.0</v>
      </c>
      <c r="K18" s="8">
        <v>0.0</v>
      </c>
      <c r="M18" s="9" t="s">
        <v>91</v>
      </c>
      <c r="N18" s="9" t="s">
        <v>92</v>
      </c>
      <c r="P18" s="9" t="s">
        <v>93</v>
      </c>
      <c r="Q18" s="8" t="s">
        <v>94</v>
      </c>
      <c r="S18" s="8" t="s">
        <v>87</v>
      </c>
      <c r="U18" s="8" t="s">
        <v>80</v>
      </c>
    </row>
    <row r="19">
      <c r="A19" s="10">
        <v>17.0</v>
      </c>
      <c r="B19" s="6" t="s">
        <v>49</v>
      </c>
      <c r="C19" s="7"/>
      <c r="D19" s="7"/>
      <c r="E19" s="8">
        <v>17.0</v>
      </c>
      <c r="F19" s="9" t="str">
        <f t="array" ref="F19:K30">"input[1][" &amp; (COLUMN(A1:F1)-COLUMN(A1) + 2*(ROW(O4:O15)-ROW(O4))) &amp; "]"</f>
        <v>input[1][0]</v>
      </c>
      <c r="G19" s="9" t="s">
        <v>95</v>
      </c>
      <c r="H19" s="9" t="s">
        <v>96</v>
      </c>
      <c r="I19" s="9" t="s">
        <v>97</v>
      </c>
      <c r="J19" s="9" t="s">
        <v>98</v>
      </c>
      <c r="K19" s="9" t="s">
        <v>99</v>
      </c>
      <c r="M19" s="9" t="s">
        <v>100</v>
      </c>
      <c r="N19" s="9" t="s">
        <v>101</v>
      </c>
      <c r="P19" s="9" t="s">
        <v>102</v>
      </c>
      <c r="R19" s="8" t="s">
        <v>94</v>
      </c>
      <c r="T19" s="8" t="s">
        <v>87</v>
      </c>
      <c r="V19" s="8" t="s">
        <v>80</v>
      </c>
    </row>
    <row r="20">
      <c r="A20" s="10">
        <v>18.0</v>
      </c>
      <c r="B20" s="6" t="s">
        <v>53</v>
      </c>
      <c r="C20" s="7"/>
      <c r="D20" s="7"/>
      <c r="E20" s="8">
        <v>18.0</v>
      </c>
      <c r="F20" s="9" t="s">
        <v>96</v>
      </c>
      <c r="G20" s="9" t="s">
        <v>97</v>
      </c>
      <c r="H20" s="9" t="s">
        <v>98</v>
      </c>
      <c r="I20" s="9" t="s">
        <v>99</v>
      </c>
      <c r="J20" s="9" t="s">
        <v>103</v>
      </c>
      <c r="K20" s="9" t="s">
        <v>104</v>
      </c>
      <c r="M20" s="9" t="s">
        <v>105</v>
      </c>
      <c r="N20" s="9" t="s">
        <v>106</v>
      </c>
      <c r="P20" s="9" t="s">
        <v>107</v>
      </c>
      <c r="Q20" s="8" t="s">
        <v>108</v>
      </c>
      <c r="S20" s="8" t="s">
        <v>94</v>
      </c>
      <c r="U20" s="8" t="s">
        <v>87</v>
      </c>
    </row>
    <row r="21">
      <c r="A21" s="10">
        <v>19.0</v>
      </c>
      <c r="B21" s="6" t="s">
        <v>54</v>
      </c>
      <c r="C21" s="7"/>
      <c r="D21" s="7"/>
      <c r="E21" s="8">
        <v>19.0</v>
      </c>
      <c r="F21" s="9" t="s">
        <v>98</v>
      </c>
      <c r="G21" s="9" t="s">
        <v>99</v>
      </c>
      <c r="H21" s="9" t="s">
        <v>103</v>
      </c>
      <c r="I21" s="9" t="s">
        <v>104</v>
      </c>
      <c r="J21" s="9" t="s">
        <v>109</v>
      </c>
      <c r="K21" s="9" t="s">
        <v>110</v>
      </c>
      <c r="M21" s="9" t="s">
        <v>111</v>
      </c>
      <c r="N21" s="9" t="s">
        <v>112</v>
      </c>
      <c r="P21" s="9" t="s">
        <v>113</v>
      </c>
      <c r="R21" s="8" t="s">
        <v>108</v>
      </c>
      <c r="T21" s="8" t="s">
        <v>94</v>
      </c>
      <c r="V21" s="8" t="s">
        <v>87</v>
      </c>
    </row>
    <row r="22">
      <c r="A22" s="10">
        <v>20.0</v>
      </c>
      <c r="B22" s="6" t="s">
        <v>59</v>
      </c>
      <c r="C22" s="7"/>
      <c r="D22" s="7"/>
      <c r="E22" s="8">
        <v>20.0</v>
      </c>
      <c r="F22" s="9" t="s">
        <v>103</v>
      </c>
      <c r="G22" s="9" t="s">
        <v>104</v>
      </c>
      <c r="H22" s="9" t="s">
        <v>109</v>
      </c>
      <c r="I22" s="9" t="s">
        <v>110</v>
      </c>
      <c r="J22" s="9" t="s">
        <v>114</v>
      </c>
      <c r="K22" s="9" t="s">
        <v>115</v>
      </c>
      <c r="M22" s="9" t="s">
        <v>116</v>
      </c>
      <c r="N22" s="9" t="s">
        <v>117</v>
      </c>
      <c r="P22" s="9" t="s">
        <v>118</v>
      </c>
      <c r="Q22" s="8" t="s">
        <v>119</v>
      </c>
      <c r="S22" s="8" t="s">
        <v>108</v>
      </c>
      <c r="U22" s="8" t="s">
        <v>94</v>
      </c>
    </row>
    <row r="23">
      <c r="A23" s="10">
        <v>21.0</v>
      </c>
      <c r="B23" s="6" t="s">
        <v>60</v>
      </c>
      <c r="C23" s="7"/>
      <c r="D23" s="7"/>
      <c r="E23" s="8">
        <v>21.0</v>
      </c>
      <c r="F23" s="9" t="s">
        <v>109</v>
      </c>
      <c r="G23" s="9" t="s">
        <v>110</v>
      </c>
      <c r="H23" s="9" t="s">
        <v>114</v>
      </c>
      <c r="I23" s="9" t="s">
        <v>115</v>
      </c>
      <c r="J23" s="9" t="s">
        <v>120</v>
      </c>
      <c r="K23" s="9" t="s">
        <v>121</v>
      </c>
      <c r="M23" s="9" t="s">
        <v>122</v>
      </c>
      <c r="N23" s="9" t="s">
        <v>123</v>
      </c>
      <c r="P23" s="9" t="s">
        <v>124</v>
      </c>
      <c r="R23" s="8" t="s">
        <v>119</v>
      </c>
      <c r="T23" s="8" t="s">
        <v>108</v>
      </c>
      <c r="V23" s="8" t="s">
        <v>94</v>
      </c>
    </row>
    <row r="24">
      <c r="A24" s="10">
        <v>22.0</v>
      </c>
      <c r="B24" s="6" t="s">
        <v>64</v>
      </c>
      <c r="C24" s="7"/>
      <c r="D24" s="7"/>
      <c r="E24" s="8">
        <v>22.0</v>
      </c>
      <c r="F24" s="9" t="s">
        <v>114</v>
      </c>
      <c r="G24" s="9" t="s">
        <v>115</v>
      </c>
      <c r="H24" s="9" t="s">
        <v>120</v>
      </c>
      <c r="I24" s="9" t="s">
        <v>121</v>
      </c>
      <c r="J24" s="9" t="s">
        <v>125</v>
      </c>
      <c r="K24" s="9" t="s">
        <v>126</v>
      </c>
      <c r="M24" s="9" t="s">
        <v>127</v>
      </c>
      <c r="N24" s="9" t="s">
        <v>128</v>
      </c>
      <c r="P24" s="9" t="s">
        <v>129</v>
      </c>
      <c r="Q24" s="8" t="s">
        <v>130</v>
      </c>
      <c r="S24" s="8" t="s">
        <v>119</v>
      </c>
      <c r="U24" s="8" t="s">
        <v>108</v>
      </c>
    </row>
    <row r="25">
      <c r="A25" s="10">
        <v>23.0</v>
      </c>
      <c r="B25" s="6" t="s">
        <v>65</v>
      </c>
      <c r="C25" s="7"/>
      <c r="D25" s="7"/>
      <c r="E25" s="8">
        <v>23.0</v>
      </c>
      <c r="F25" s="9" t="s">
        <v>120</v>
      </c>
      <c r="G25" s="9" t="s">
        <v>121</v>
      </c>
      <c r="H25" s="9" t="s">
        <v>125</v>
      </c>
      <c r="I25" s="9" t="s">
        <v>126</v>
      </c>
      <c r="J25" s="9" t="s">
        <v>131</v>
      </c>
      <c r="K25" s="9" t="s">
        <v>132</v>
      </c>
      <c r="M25" s="9" t="s">
        <v>133</v>
      </c>
      <c r="N25" s="9" t="s">
        <v>134</v>
      </c>
      <c r="P25" s="9" t="s">
        <v>135</v>
      </c>
      <c r="R25" s="8" t="s">
        <v>130</v>
      </c>
      <c r="T25" s="8" t="s">
        <v>119</v>
      </c>
      <c r="V25" s="8" t="s">
        <v>108</v>
      </c>
    </row>
    <row r="26">
      <c r="A26" s="10">
        <v>24.0</v>
      </c>
      <c r="B26" s="6" t="s">
        <v>70</v>
      </c>
      <c r="C26" s="7"/>
      <c r="D26" s="7"/>
      <c r="E26" s="8">
        <v>24.0</v>
      </c>
      <c r="F26" s="9" t="s">
        <v>125</v>
      </c>
      <c r="G26" s="9" t="s">
        <v>126</v>
      </c>
      <c r="H26" s="9" t="s">
        <v>131</v>
      </c>
      <c r="I26" s="9" t="s">
        <v>132</v>
      </c>
      <c r="J26" s="9" t="s">
        <v>136</v>
      </c>
      <c r="K26" s="9" t="s">
        <v>137</v>
      </c>
      <c r="M26" s="9" t="s">
        <v>138</v>
      </c>
      <c r="N26" s="9" t="s">
        <v>139</v>
      </c>
      <c r="P26" s="9" t="s">
        <v>140</v>
      </c>
      <c r="S26" s="8" t="s">
        <v>130</v>
      </c>
      <c r="U26" s="8" t="s">
        <v>119</v>
      </c>
    </row>
    <row r="27">
      <c r="A27" s="10">
        <v>25.0</v>
      </c>
      <c r="B27" s="6" t="s">
        <v>71</v>
      </c>
      <c r="C27" s="7"/>
      <c r="D27" s="7"/>
      <c r="E27" s="8">
        <v>25.0</v>
      </c>
      <c r="F27" s="9" t="s">
        <v>131</v>
      </c>
      <c r="G27" s="9" t="s">
        <v>132</v>
      </c>
      <c r="H27" s="9" t="s">
        <v>136</v>
      </c>
      <c r="I27" s="9" t="s">
        <v>137</v>
      </c>
      <c r="J27" s="9" t="s">
        <v>141</v>
      </c>
      <c r="K27" s="9" t="s">
        <v>142</v>
      </c>
      <c r="M27" s="9" t="s">
        <v>143</v>
      </c>
      <c r="N27" s="9" t="s">
        <v>144</v>
      </c>
      <c r="P27" s="9" t="s">
        <v>145</v>
      </c>
      <c r="T27" s="8" t="s">
        <v>130</v>
      </c>
      <c r="V27" s="8" t="s">
        <v>119</v>
      </c>
    </row>
    <row r="28">
      <c r="A28" s="10">
        <v>26.0</v>
      </c>
      <c r="B28" s="6" t="s">
        <v>75</v>
      </c>
      <c r="C28" s="7"/>
      <c r="D28" s="7"/>
      <c r="E28" s="8">
        <v>26.0</v>
      </c>
      <c r="F28" s="9" t="s">
        <v>136</v>
      </c>
      <c r="G28" s="9" t="s">
        <v>137</v>
      </c>
      <c r="H28" s="9" t="s">
        <v>141</v>
      </c>
      <c r="I28" s="9" t="s">
        <v>142</v>
      </c>
      <c r="J28" s="9" t="s">
        <v>146</v>
      </c>
      <c r="K28" s="9" t="s">
        <v>147</v>
      </c>
      <c r="M28" s="9" t="s">
        <v>148</v>
      </c>
      <c r="N28" s="9" t="s">
        <v>149</v>
      </c>
      <c r="P28" s="9" t="s">
        <v>150</v>
      </c>
      <c r="U28" s="8" t="s">
        <v>130</v>
      </c>
    </row>
    <row r="29">
      <c r="A29" s="10">
        <v>27.0</v>
      </c>
      <c r="B29" s="6" t="s">
        <v>76</v>
      </c>
      <c r="C29" s="7"/>
      <c r="D29" s="7"/>
      <c r="E29" s="8">
        <v>27.0</v>
      </c>
      <c r="F29" s="9" t="s">
        <v>141</v>
      </c>
      <c r="G29" s="9" t="s">
        <v>142</v>
      </c>
      <c r="H29" s="9" t="s">
        <v>146</v>
      </c>
      <c r="I29" s="9" t="s">
        <v>147</v>
      </c>
      <c r="J29" s="9" t="s">
        <v>151</v>
      </c>
      <c r="K29" s="9" t="s">
        <v>152</v>
      </c>
      <c r="M29" s="9" t="s">
        <v>153</v>
      </c>
      <c r="N29" s="9" t="s">
        <v>154</v>
      </c>
      <c r="P29" s="9" t="s">
        <v>155</v>
      </c>
      <c r="V29" s="8" t="s">
        <v>130</v>
      </c>
    </row>
    <row r="30">
      <c r="A30" s="10">
        <v>28.0</v>
      </c>
      <c r="C30" s="7"/>
      <c r="D30" s="7"/>
      <c r="E30" s="8">
        <v>28.0</v>
      </c>
      <c r="F30" s="9" t="s">
        <v>146</v>
      </c>
      <c r="G30" s="9" t="s">
        <v>147</v>
      </c>
      <c r="H30" s="9" t="s">
        <v>151</v>
      </c>
      <c r="I30" s="9" t="s">
        <v>152</v>
      </c>
      <c r="J30" s="9" t="s">
        <v>156</v>
      </c>
      <c r="K30" s="9" t="s">
        <v>157</v>
      </c>
      <c r="M30" s="9" t="s">
        <v>158</v>
      </c>
      <c r="N30" s="9" t="s">
        <v>159</v>
      </c>
    </row>
    <row r="31">
      <c r="A31" s="10">
        <v>29.0</v>
      </c>
      <c r="C31" s="7"/>
      <c r="D31" s="7"/>
      <c r="E31" s="8">
        <v>29.0</v>
      </c>
      <c r="F31" s="8">
        <v>0.0</v>
      </c>
      <c r="G31" s="8">
        <v>0.0</v>
      </c>
      <c r="H31" s="8">
        <v>0.0</v>
      </c>
      <c r="I31" s="8">
        <v>0.0</v>
      </c>
      <c r="J31" s="8">
        <v>0.0</v>
      </c>
      <c r="K31" s="8">
        <v>0.0</v>
      </c>
      <c r="M31" s="9" t="s">
        <v>160</v>
      </c>
      <c r="N31" s="9" t="s">
        <v>161</v>
      </c>
    </row>
    <row r="32">
      <c r="A32" s="10">
        <v>30.0</v>
      </c>
      <c r="C32" s="7"/>
      <c r="D32" s="7"/>
      <c r="E32" s="8">
        <v>30.0</v>
      </c>
      <c r="F32" s="8">
        <v>0.0</v>
      </c>
      <c r="G32" s="8">
        <v>0.0</v>
      </c>
      <c r="H32" s="8">
        <v>0.0</v>
      </c>
      <c r="I32" s="8">
        <v>0.0</v>
      </c>
      <c r="J32" s="8">
        <v>0.0</v>
      </c>
      <c r="K32" s="8">
        <v>0.0</v>
      </c>
      <c r="M32" s="9" t="s">
        <v>162</v>
      </c>
      <c r="N32" s="9" t="s">
        <v>163</v>
      </c>
    </row>
    <row r="33">
      <c r="A33" s="10">
        <v>31.0</v>
      </c>
      <c r="C33" s="7"/>
      <c r="D33" s="7"/>
      <c r="E33" s="8">
        <v>31.0</v>
      </c>
      <c r="F33" s="8">
        <v>0.0</v>
      </c>
      <c r="G33" s="8">
        <v>0.0</v>
      </c>
      <c r="H33" s="8">
        <v>0.0</v>
      </c>
      <c r="I33" s="8">
        <v>0.0</v>
      </c>
      <c r="J33" s="8">
        <v>0.0</v>
      </c>
      <c r="K33" s="8">
        <v>0.0</v>
      </c>
      <c r="M33" s="9" t="s">
        <v>164</v>
      </c>
      <c r="N33" s="9" t="s">
        <v>165</v>
      </c>
    </row>
    <row r="34">
      <c r="A34" s="10">
        <v>32.0</v>
      </c>
      <c r="B34" s="6" t="s">
        <v>166</v>
      </c>
      <c r="C34" s="7"/>
      <c r="D34" s="7"/>
      <c r="E34" s="8">
        <v>32.0</v>
      </c>
      <c r="F34" s="8">
        <v>0.0</v>
      </c>
      <c r="G34" s="8">
        <v>0.0</v>
      </c>
      <c r="H34" s="8">
        <v>0.0</v>
      </c>
      <c r="I34" s="8">
        <v>0.0</v>
      </c>
      <c r="J34" s="8">
        <v>0.0</v>
      </c>
      <c r="K34" s="8">
        <v>0.0</v>
      </c>
      <c r="M34" s="9" t="s">
        <v>167</v>
      </c>
      <c r="N34" s="9" t="s">
        <v>168</v>
      </c>
    </row>
    <row r="35">
      <c r="A35" s="10">
        <v>33.0</v>
      </c>
      <c r="B35" s="6" t="s">
        <v>95</v>
      </c>
      <c r="C35" s="7"/>
      <c r="D35" s="7"/>
      <c r="E35" s="8">
        <v>33.0</v>
      </c>
      <c r="F35" s="9" t="str">
        <f t="array" ref="F35:K46">"input[2][" &amp; (COLUMN(A1:F1)-COLUMN(A1) + 2*(ROW(O4:O15)-ROW(O4))) &amp; "]"</f>
        <v>input[2][0]</v>
      </c>
      <c r="G35" s="9" t="s">
        <v>169</v>
      </c>
      <c r="H35" s="9" t="s">
        <v>170</v>
      </c>
      <c r="I35" s="9" t="s">
        <v>171</v>
      </c>
      <c r="J35" s="9" t="s">
        <v>172</v>
      </c>
      <c r="K35" s="9" t="s">
        <v>173</v>
      </c>
      <c r="M35" s="9" t="s">
        <v>174</v>
      </c>
      <c r="N35" s="9" t="s">
        <v>175</v>
      </c>
    </row>
    <row r="36">
      <c r="A36" s="10">
        <v>34.0</v>
      </c>
      <c r="B36" s="6" t="s">
        <v>96</v>
      </c>
      <c r="C36" s="7"/>
      <c r="D36" s="7"/>
      <c r="E36" s="8">
        <v>34.0</v>
      </c>
      <c r="F36" s="9" t="s">
        <v>170</v>
      </c>
      <c r="G36" s="9" t="s">
        <v>171</v>
      </c>
      <c r="H36" s="9" t="s">
        <v>172</v>
      </c>
      <c r="I36" s="9" t="s">
        <v>173</v>
      </c>
      <c r="J36" s="9" t="s">
        <v>176</v>
      </c>
      <c r="K36" s="9" t="s">
        <v>177</v>
      </c>
      <c r="M36" s="9" t="s">
        <v>178</v>
      </c>
      <c r="N36" s="9" t="s">
        <v>179</v>
      </c>
    </row>
    <row r="37">
      <c r="A37" s="10">
        <v>35.0</v>
      </c>
      <c r="B37" s="6" t="s">
        <v>97</v>
      </c>
      <c r="C37" s="7"/>
      <c r="D37" s="7"/>
      <c r="E37" s="8">
        <v>35.0</v>
      </c>
      <c r="F37" s="9" t="s">
        <v>172</v>
      </c>
      <c r="G37" s="9" t="s">
        <v>173</v>
      </c>
      <c r="H37" s="9" t="s">
        <v>176</v>
      </c>
      <c r="I37" s="9" t="s">
        <v>177</v>
      </c>
      <c r="J37" s="9" t="s">
        <v>180</v>
      </c>
      <c r="K37" s="9" t="s">
        <v>181</v>
      </c>
      <c r="M37" s="9" t="s">
        <v>182</v>
      </c>
      <c r="N37" s="9" t="s">
        <v>183</v>
      </c>
    </row>
    <row r="38">
      <c r="A38" s="10">
        <v>36.0</v>
      </c>
      <c r="B38" s="6" t="s">
        <v>98</v>
      </c>
      <c r="C38" s="7"/>
      <c r="D38" s="7"/>
      <c r="E38" s="8">
        <v>36.0</v>
      </c>
      <c r="F38" s="9" t="s">
        <v>176</v>
      </c>
      <c r="G38" s="9" t="s">
        <v>177</v>
      </c>
      <c r="H38" s="9" t="s">
        <v>180</v>
      </c>
      <c r="I38" s="9" t="s">
        <v>181</v>
      </c>
      <c r="J38" s="9" t="s">
        <v>184</v>
      </c>
      <c r="K38" s="9" t="s">
        <v>185</v>
      </c>
      <c r="M38" s="9" t="s">
        <v>186</v>
      </c>
      <c r="N38" s="9" t="s">
        <v>187</v>
      </c>
    </row>
    <row r="39">
      <c r="A39" s="10">
        <v>37.0</v>
      </c>
      <c r="B39" s="6" t="s">
        <v>99</v>
      </c>
      <c r="C39" s="7"/>
      <c r="D39" s="7"/>
      <c r="E39" s="8">
        <v>37.0</v>
      </c>
      <c r="F39" s="9" t="s">
        <v>180</v>
      </c>
      <c r="G39" s="9" t="s">
        <v>181</v>
      </c>
      <c r="H39" s="9" t="s">
        <v>184</v>
      </c>
      <c r="I39" s="9" t="s">
        <v>185</v>
      </c>
      <c r="J39" s="9" t="s">
        <v>188</v>
      </c>
      <c r="K39" s="9" t="s">
        <v>189</v>
      </c>
      <c r="M39" s="9" t="s">
        <v>190</v>
      </c>
      <c r="N39" s="9" t="s">
        <v>191</v>
      </c>
    </row>
    <row r="40">
      <c r="A40" s="10">
        <v>38.0</v>
      </c>
      <c r="B40" s="6" t="s">
        <v>103</v>
      </c>
      <c r="C40" s="7"/>
      <c r="D40" s="7"/>
      <c r="E40" s="8">
        <v>38.0</v>
      </c>
      <c r="F40" s="9" t="s">
        <v>184</v>
      </c>
      <c r="G40" s="9" t="s">
        <v>185</v>
      </c>
      <c r="H40" s="9" t="s">
        <v>188</v>
      </c>
      <c r="I40" s="9" t="s">
        <v>189</v>
      </c>
      <c r="J40" s="9" t="s">
        <v>192</v>
      </c>
      <c r="K40" s="9" t="s">
        <v>193</v>
      </c>
      <c r="M40" s="9" t="s">
        <v>194</v>
      </c>
      <c r="N40" s="9" t="s">
        <v>195</v>
      </c>
    </row>
    <row r="41">
      <c r="A41" s="10">
        <v>39.0</v>
      </c>
      <c r="B41" s="6" t="s">
        <v>104</v>
      </c>
      <c r="C41" s="7"/>
      <c r="D41" s="7"/>
      <c r="E41" s="8">
        <v>39.0</v>
      </c>
      <c r="F41" s="9" t="s">
        <v>188</v>
      </c>
      <c r="G41" s="9" t="s">
        <v>189</v>
      </c>
      <c r="H41" s="9" t="s">
        <v>192</v>
      </c>
      <c r="I41" s="9" t="s">
        <v>193</v>
      </c>
      <c r="J41" s="9" t="s">
        <v>196</v>
      </c>
      <c r="K41" s="9" t="s">
        <v>197</v>
      </c>
      <c r="M41" s="9" t="s">
        <v>198</v>
      </c>
      <c r="N41" s="9" t="s">
        <v>199</v>
      </c>
    </row>
    <row r="42">
      <c r="A42" s="10">
        <v>40.0</v>
      </c>
      <c r="B42" s="6" t="s">
        <v>109</v>
      </c>
      <c r="C42" s="7"/>
      <c r="D42" s="7"/>
      <c r="E42" s="8">
        <v>40.0</v>
      </c>
      <c r="F42" s="9" t="s">
        <v>192</v>
      </c>
      <c r="G42" s="9" t="s">
        <v>193</v>
      </c>
      <c r="H42" s="9" t="s">
        <v>196</v>
      </c>
      <c r="I42" s="9" t="s">
        <v>197</v>
      </c>
      <c r="J42" s="9" t="s">
        <v>200</v>
      </c>
      <c r="K42" s="9" t="s">
        <v>201</v>
      </c>
      <c r="M42" s="9" t="s">
        <v>202</v>
      </c>
      <c r="N42" s="9" t="s">
        <v>203</v>
      </c>
    </row>
    <row r="43">
      <c r="A43" s="10">
        <v>41.0</v>
      </c>
      <c r="B43" s="6" t="s">
        <v>110</v>
      </c>
      <c r="C43" s="7"/>
      <c r="D43" s="7"/>
      <c r="E43" s="8">
        <v>41.0</v>
      </c>
      <c r="F43" s="9" t="s">
        <v>196</v>
      </c>
      <c r="G43" s="9" t="s">
        <v>197</v>
      </c>
      <c r="H43" s="9" t="s">
        <v>200</v>
      </c>
      <c r="I43" s="9" t="s">
        <v>201</v>
      </c>
      <c r="J43" s="9" t="s">
        <v>204</v>
      </c>
      <c r="K43" s="9" t="s">
        <v>205</v>
      </c>
      <c r="M43" s="9" t="s">
        <v>206</v>
      </c>
      <c r="N43" s="9" t="s">
        <v>207</v>
      </c>
    </row>
    <row r="44">
      <c r="A44" s="10">
        <v>42.0</v>
      </c>
      <c r="B44" s="6" t="s">
        <v>114</v>
      </c>
      <c r="C44" s="7"/>
      <c r="D44" s="7"/>
      <c r="E44" s="8">
        <v>42.0</v>
      </c>
      <c r="F44" s="9" t="s">
        <v>200</v>
      </c>
      <c r="G44" s="9" t="s">
        <v>201</v>
      </c>
      <c r="H44" s="9" t="s">
        <v>204</v>
      </c>
      <c r="I44" s="9" t="s">
        <v>205</v>
      </c>
      <c r="J44" s="9" t="s">
        <v>208</v>
      </c>
      <c r="K44" s="9" t="s">
        <v>209</v>
      </c>
      <c r="M44" s="9" t="s">
        <v>210</v>
      </c>
      <c r="N44" s="9" t="s">
        <v>211</v>
      </c>
    </row>
    <row r="45">
      <c r="A45" s="10">
        <v>43.0</v>
      </c>
      <c r="B45" s="6" t="s">
        <v>115</v>
      </c>
      <c r="C45" s="7"/>
      <c r="D45" s="7"/>
      <c r="E45" s="8">
        <v>43.0</v>
      </c>
      <c r="F45" s="9" t="s">
        <v>204</v>
      </c>
      <c r="G45" s="9" t="s">
        <v>205</v>
      </c>
      <c r="H45" s="9" t="s">
        <v>208</v>
      </c>
      <c r="I45" s="9" t="s">
        <v>209</v>
      </c>
      <c r="J45" s="9" t="s">
        <v>212</v>
      </c>
      <c r="K45" s="9" t="s">
        <v>213</v>
      </c>
      <c r="M45" s="9" t="s">
        <v>214</v>
      </c>
      <c r="N45" s="9" t="s">
        <v>215</v>
      </c>
    </row>
    <row r="46">
      <c r="A46" s="10">
        <v>44.0</v>
      </c>
      <c r="B46" s="6" t="s">
        <v>120</v>
      </c>
      <c r="C46" s="7"/>
      <c r="D46" s="7"/>
      <c r="E46" s="8">
        <v>44.0</v>
      </c>
      <c r="F46" s="9" t="s">
        <v>208</v>
      </c>
      <c r="G46" s="9" t="s">
        <v>209</v>
      </c>
      <c r="H46" s="9" t="s">
        <v>212</v>
      </c>
      <c r="I46" s="9" t="s">
        <v>213</v>
      </c>
      <c r="J46" s="9" t="s">
        <v>216</v>
      </c>
      <c r="K46" s="9" t="s">
        <v>217</v>
      </c>
      <c r="M46" s="9" t="s">
        <v>218</v>
      </c>
      <c r="N46" s="9" t="s">
        <v>219</v>
      </c>
    </row>
    <row r="47">
      <c r="A47" s="10">
        <v>45.0</v>
      </c>
      <c r="B47" s="6" t="s">
        <v>121</v>
      </c>
      <c r="C47" s="7"/>
      <c r="D47" s="7"/>
      <c r="E47" s="8">
        <v>45.0</v>
      </c>
      <c r="F47" s="8">
        <v>0.0</v>
      </c>
      <c r="G47" s="8">
        <v>0.0</v>
      </c>
      <c r="H47" s="8">
        <v>0.0</v>
      </c>
      <c r="I47" s="8">
        <v>0.0</v>
      </c>
      <c r="J47" s="8">
        <v>0.0</v>
      </c>
      <c r="K47" s="8">
        <v>0.0</v>
      </c>
      <c r="M47" s="9" t="s">
        <v>220</v>
      </c>
      <c r="N47" s="9" t="s">
        <v>221</v>
      </c>
    </row>
    <row r="48">
      <c r="A48" s="10">
        <v>46.0</v>
      </c>
      <c r="B48" s="6" t="s">
        <v>125</v>
      </c>
      <c r="C48" s="7"/>
      <c r="D48" s="7"/>
      <c r="E48" s="8">
        <v>46.0</v>
      </c>
      <c r="F48" s="8">
        <v>0.0</v>
      </c>
      <c r="G48" s="8">
        <v>0.0</v>
      </c>
      <c r="H48" s="8">
        <v>0.0</v>
      </c>
      <c r="I48" s="8">
        <v>0.0</v>
      </c>
      <c r="J48" s="8">
        <v>0.0</v>
      </c>
      <c r="K48" s="8">
        <v>0.0</v>
      </c>
      <c r="M48" s="9" t="s">
        <v>222</v>
      </c>
      <c r="N48" s="9" t="s">
        <v>223</v>
      </c>
    </row>
    <row r="49">
      <c r="A49" s="10">
        <v>47.0</v>
      </c>
      <c r="B49" s="6" t="s">
        <v>126</v>
      </c>
      <c r="C49" s="7"/>
      <c r="D49" s="7"/>
      <c r="E49" s="8">
        <v>47.0</v>
      </c>
      <c r="F49" s="8">
        <v>0.0</v>
      </c>
      <c r="G49" s="8">
        <v>0.0</v>
      </c>
      <c r="H49" s="8">
        <v>0.0</v>
      </c>
      <c r="I49" s="8">
        <v>0.0</v>
      </c>
      <c r="J49" s="8">
        <v>0.0</v>
      </c>
      <c r="K49" s="8">
        <v>0.0</v>
      </c>
      <c r="M49" s="9" t="s">
        <v>224</v>
      </c>
      <c r="N49" s="9" t="s">
        <v>225</v>
      </c>
    </row>
    <row r="50">
      <c r="A50" s="10">
        <v>48.0</v>
      </c>
      <c r="B50" s="6" t="s">
        <v>131</v>
      </c>
      <c r="C50" s="7"/>
      <c r="D50" s="7"/>
      <c r="E50" s="8">
        <v>48.0</v>
      </c>
      <c r="F50" s="8">
        <v>0.0</v>
      </c>
      <c r="G50" s="8">
        <v>0.0</v>
      </c>
      <c r="H50" s="8">
        <v>0.0</v>
      </c>
      <c r="I50" s="8">
        <v>0.0</v>
      </c>
      <c r="J50" s="8">
        <v>0.0</v>
      </c>
      <c r="K50" s="8">
        <v>0.0</v>
      </c>
      <c r="M50" s="9" t="s">
        <v>226</v>
      </c>
      <c r="N50" s="9" t="s">
        <v>227</v>
      </c>
    </row>
    <row r="51">
      <c r="A51" s="10">
        <v>49.0</v>
      </c>
      <c r="B51" s="6" t="s">
        <v>132</v>
      </c>
      <c r="C51" s="7"/>
      <c r="D51" s="7"/>
      <c r="E51" s="8">
        <v>49.0</v>
      </c>
      <c r="F51" s="9" t="str">
        <f t="array" ref="F51:K62">"input[3][" &amp; (COLUMN(A1:F1)-COLUMN(A1) + 2*(ROW(O4:O15)-ROW(O4))) &amp; "]"</f>
        <v>input[3][0]</v>
      </c>
      <c r="G51" s="9" t="s">
        <v>228</v>
      </c>
      <c r="H51" s="9" t="s">
        <v>229</v>
      </c>
      <c r="I51" s="9" t="s">
        <v>230</v>
      </c>
      <c r="J51" s="9" t="s">
        <v>231</v>
      </c>
      <c r="K51" s="9" t="s">
        <v>232</v>
      </c>
      <c r="M51" s="9" t="s">
        <v>233</v>
      </c>
      <c r="N51" s="9" t="s">
        <v>234</v>
      </c>
    </row>
    <row r="52">
      <c r="A52" s="10">
        <v>50.0</v>
      </c>
      <c r="B52" s="6" t="s">
        <v>136</v>
      </c>
      <c r="C52" s="7"/>
      <c r="D52" s="7"/>
      <c r="E52" s="8">
        <v>50.0</v>
      </c>
      <c r="F52" s="9" t="s">
        <v>229</v>
      </c>
      <c r="G52" s="9" t="s">
        <v>230</v>
      </c>
      <c r="H52" s="9" t="s">
        <v>231</v>
      </c>
      <c r="I52" s="9" t="s">
        <v>232</v>
      </c>
      <c r="J52" s="9" t="s">
        <v>235</v>
      </c>
      <c r="K52" s="9" t="s">
        <v>236</v>
      </c>
      <c r="M52" s="9" t="s">
        <v>237</v>
      </c>
      <c r="N52" s="9" t="s">
        <v>238</v>
      </c>
    </row>
    <row r="53">
      <c r="A53" s="10">
        <v>51.0</v>
      </c>
      <c r="B53" s="6" t="s">
        <v>137</v>
      </c>
      <c r="C53" s="7"/>
      <c r="D53" s="7"/>
      <c r="E53" s="8">
        <v>51.0</v>
      </c>
      <c r="F53" s="9" t="s">
        <v>231</v>
      </c>
      <c r="G53" s="9" t="s">
        <v>232</v>
      </c>
      <c r="H53" s="9" t="s">
        <v>235</v>
      </c>
      <c r="I53" s="9" t="s">
        <v>236</v>
      </c>
      <c r="J53" s="9" t="s">
        <v>239</v>
      </c>
      <c r="K53" s="9" t="s">
        <v>240</v>
      </c>
      <c r="M53" s="9" t="s">
        <v>241</v>
      </c>
      <c r="N53" s="9" t="s">
        <v>242</v>
      </c>
    </row>
    <row r="54">
      <c r="A54" s="10">
        <v>52.0</v>
      </c>
      <c r="B54" s="6" t="s">
        <v>141</v>
      </c>
      <c r="C54" s="7"/>
      <c r="D54" s="7"/>
      <c r="E54" s="8">
        <v>52.0</v>
      </c>
      <c r="F54" s="9" t="s">
        <v>235</v>
      </c>
      <c r="G54" s="9" t="s">
        <v>236</v>
      </c>
      <c r="H54" s="9" t="s">
        <v>239</v>
      </c>
      <c r="I54" s="9" t="s">
        <v>240</v>
      </c>
      <c r="J54" s="9" t="s">
        <v>243</v>
      </c>
      <c r="K54" s="9" t="s">
        <v>244</v>
      </c>
      <c r="M54" s="9" t="s">
        <v>245</v>
      </c>
      <c r="N54" s="9" t="s">
        <v>246</v>
      </c>
    </row>
    <row r="55">
      <c r="A55" s="10">
        <v>53.0</v>
      </c>
      <c r="B55" s="6" t="s">
        <v>142</v>
      </c>
      <c r="C55" s="7"/>
      <c r="D55" s="7"/>
      <c r="E55" s="8">
        <v>53.0</v>
      </c>
      <c r="F55" s="9" t="s">
        <v>239</v>
      </c>
      <c r="G55" s="9" t="s">
        <v>240</v>
      </c>
      <c r="H55" s="9" t="s">
        <v>243</v>
      </c>
      <c r="I55" s="9" t="s">
        <v>244</v>
      </c>
      <c r="J55" s="9" t="s">
        <v>247</v>
      </c>
      <c r="K55" s="9" t="s">
        <v>248</v>
      </c>
      <c r="M55" s="9" t="s">
        <v>249</v>
      </c>
      <c r="N55" s="9" t="s">
        <v>250</v>
      </c>
    </row>
    <row r="56">
      <c r="A56" s="10">
        <v>54.0</v>
      </c>
      <c r="B56" s="6" t="s">
        <v>146</v>
      </c>
      <c r="C56" s="7"/>
      <c r="D56" s="7"/>
      <c r="E56" s="8">
        <v>54.0</v>
      </c>
      <c r="F56" s="9" t="s">
        <v>243</v>
      </c>
      <c r="G56" s="9" t="s">
        <v>244</v>
      </c>
      <c r="H56" s="9" t="s">
        <v>247</v>
      </c>
      <c r="I56" s="9" t="s">
        <v>248</v>
      </c>
      <c r="J56" s="9" t="s">
        <v>251</v>
      </c>
      <c r="K56" s="9" t="s">
        <v>252</v>
      </c>
      <c r="M56" s="9" t="s">
        <v>253</v>
      </c>
      <c r="N56" s="9" t="s">
        <v>254</v>
      </c>
    </row>
    <row r="57">
      <c r="A57" s="10">
        <v>55.0</v>
      </c>
      <c r="B57" s="6" t="s">
        <v>147</v>
      </c>
      <c r="C57" s="7"/>
      <c r="D57" s="7"/>
      <c r="E57" s="8">
        <v>55.0</v>
      </c>
      <c r="F57" s="9" t="s">
        <v>247</v>
      </c>
      <c r="G57" s="9" t="s">
        <v>248</v>
      </c>
      <c r="H57" s="9" t="s">
        <v>251</v>
      </c>
      <c r="I57" s="9" t="s">
        <v>252</v>
      </c>
      <c r="J57" s="9" t="s">
        <v>255</v>
      </c>
      <c r="K57" s="9" t="s">
        <v>256</v>
      </c>
      <c r="M57" s="9" t="s">
        <v>257</v>
      </c>
      <c r="N57" s="9" t="s">
        <v>258</v>
      </c>
    </row>
    <row r="58">
      <c r="A58" s="10">
        <v>56.0</v>
      </c>
      <c r="B58" s="6" t="s">
        <v>151</v>
      </c>
      <c r="C58" s="7"/>
      <c r="D58" s="7"/>
      <c r="E58" s="8">
        <v>56.0</v>
      </c>
      <c r="F58" s="9" t="s">
        <v>251</v>
      </c>
      <c r="G58" s="9" t="s">
        <v>252</v>
      </c>
      <c r="H58" s="9" t="s">
        <v>255</v>
      </c>
      <c r="I58" s="9" t="s">
        <v>256</v>
      </c>
      <c r="J58" s="9" t="s">
        <v>259</v>
      </c>
      <c r="K58" s="9" t="s">
        <v>260</v>
      </c>
      <c r="M58" s="9" t="s">
        <v>261</v>
      </c>
      <c r="N58" s="9" t="s">
        <v>262</v>
      </c>
    </row>
    <row r="59">
      <c r="A59" s="10">
        <v>57.0</v>
      </c>
      <c r="B59" s="6" t="s">
        <v>152</v>
      </c>
      <c r="C59" s="7"/>
      <c r="D59" s="7"/>
      <c r="E59" s="8">
        <v>57.0</v>
      </c>
      <c r="F59" s="9" t="s">
        <v>255</v>
      </c>
      <c r="G59" s="9" t="s">
        <v>256</v>
      </c>
      <c r="H59" s="9" t="s">
        <v>259</v>
      </c>
      <c r="I59" s="9" t="s">
        <v>260</v>
      </c>
      <c r="J59" s="9" t="s">
        <v>263</v>
      </c>
      <c r="K59" s="9" t="s">
        <v>264</v>
      </c>
      <c r="M59" s="9" t="s">
        <v>265</v>
      </c>
      <c r="N59" s="9" t="s">
        <v>266</v>
      </c>
    </row>
    <row r="60">
      <c r="A60" s="10">
        <v>58.0</v>
      </c>
      <c r="B60" s="6" t="s">
        <v>156</v>
      </c>
      <c r="C60" s="7"/>
      <c r="D60" s="7"/>
      <c r="E60" s="8">
        <v>58.0</v>
      </c>
      <c r="F60" s="9" t="s">
        <v>259</v>
      </c>
      <c r="G60" s="9" t="s">
        <v>260</v>
      </c>
      <c r="H60" s="9" t="s">
        <v>263</v>
      </c>
      <c r="I60" s="9" t="s">
        <v>264</v>
      </c>
      <c r="J60" s="9" t="s">
        <v>267</v>
      </c>
      <c r="K60" s="9" t="s">
        <v>268</v>
      </c>
      <c r="M60" s="9" t="s">
        <v>269</v>
      </c>
      <c r="N60" s="9" t="s">
        <v>270</v>
      </c>
    </row>
    <row r="61">
      <c r="A61" s="10">
        <v>59.0</v>
      </c>
      <c r="B61" s="6" t="s">
        <v>157</v>
      </c>
      <c r="C61" s="7"/>
      <c r="D61" s="7"/>
      <c r="E61" s="8">
        <v>59.0</v>
      </c>
      <c r="F61" s="9" t="s">
        <v>263</v>
      </c>
      <c r="G61" s="9" t="s">
        <v>264</v>
      </c>
      <c r="H61" s="9" t="s">
        <v>267</v>
      </c>
      <c r="I61" s="9" t="s">
        <v>268</v>
      </c>
      <c r="J61" s="9" t="s">
        <v>271</v>
      </c>
      <c r="K61" s="9" t="s">
        <v>272</v>
      </c>
      <c r="M61" s="9" t="s">
        <v>273</v>
      </c>
      <c r="N61" s="9" t="s">
        <v>274</v>
      </c>
    </row>
    <row r="62">
      <c r="A62" s="10">
        <v>60.0</v>
      </c>
      <c r="C62" s="7"/>
      <c r="D62" s="7"/>
      <c r="E62" s="8">
        <v>60.0</v>
      </c>
      <c r="F62" s="9" t="s">
        <v>267</v>
      </c>
      <c r="G62" s="9" t="s">
        <v>268</v>
      </c>
      <c r="H62" s="9" t="s">
        <v>271</v>
      </c>
      <c r="I62" s="9" t="s">
        <v>272</v>
      </c>
      <c r="J62" s="9" t="s">
        <v>275</v>
      </c>
      <c r="K62" s="9" t="s">
        <v>276</v>
      </c>
      <c r="M62" s="9" t="s">
        <v>277</v>
      </c>
      <c r="N62" s="9" t="s">
        <v>278</v>
      </c>
    </row>
    <row r="63">
      <c r="A63" s="10">
        <v>61.0</v>
      </c>
      <c r="C63" s="7"/>
      <c r="D63" s="7"/>
      <c r="E63" s="8">
        <v>61.0</v>
      </c>
      <c r="F63" s="8">
        <v>0.0</v>
      </c>
      <c r="G63" s="8">
        <v>0.0</v>
      </c>
      <c r="H63" s="8">
        <v>0.0</v>
      </c>
      <c r="I63" s="8">
        <v>0.0</v>
      </c>
      <c r="J63" s="8">
        <v>0.0</v>
      </c>
      <c r="K63" s="8">
        <v>0.0</v>
      </c>
      <c r="M63" s="9" t="s">
        <v>279</v>
      </c>
      <c r="N63" s="9" t="s">
        <v>280</v>
      </c>
    </row>
    <row r="64">
      <c r="A64" s="10">
        <v>62.0</v>
      </c>
      <c r="C64" s="7"/>
      <c r="D64" s="7"/>
      <c r="E64" s="8">
        <v>62.0</v>
      </c>
      <c r="F64" s="8">
        <v>0.0</v>
      </c>
      <c r="G64" s="8">
        <v>0.0</v>
      </c>
      <c r="H64" s="8">
        <v>0.0</v>
      </c>
      <c r="I64" s="8">
        <v>0.0</v>
      </c>
      <c r="J64" s="8">
        <v>0.0</v>
      </c>
      <c r="K64" s="8">
        <v>0.0</v>
      </c>
      <c r="M64" s="9" t="s">
        <v>281</v>
      </c>
      <c r="N64" s="9" t="s">
        <v>282</v>
      </c>
    </row>
    <row r="65">
      <c r="A65" s="10">
        <v>63.0</v>
      </c>
      <c r="C65" s="7"/>
      <c r="D65" s="7"/>
      <c r="E65" s="8">
        <v>63.0</v>
      </c>
      <c r="F65" s="8">
        <v>0.0</v>
      </c>
      <c r="G65" s="8">
        <v>0.0</v>
      </c>
      <c r="H65" s="8">
        <v>0.0</v>
      </c>
      <c r="I65" s="8">
        <v>0.0</v>
      </c>
      <c r="J65" s="8">
        <v>0.0</v>
      </c>
      <c r="K65" s="8">
        <v>0.0</v>
      </c>
      <c r="M65" s="9" t="s">
        <v>283</v>
      </c>
      <c r="N65" s="9" t="s">
        <v>284</v>
      </c>
    </row>
    <row r="66">
      <c r="A66" s="10">
        <v>64.0</v>
      </c>
      <c r="B66" s="6" t="s">
        <v>285</v>
      </c>
      <c r="C66" s="7"/>
      <c r="D66" s="7"/>
      <c r="E66" s="8">
        <v>64.0</v>
      </c>
      <c r="F66" s="8">
        <v>0.0</v>
      </c>
      <c r="G66" s="8">
        <v>0.0</v>
      </c>
      <c r="H66" s="8">
        <v>0.0</v>
      </c>
      <c r="I66" s="8">
        <v>0.0</v>
      </c>
      <c r="J66" s="8">
        <v>0.0</v>
      </c>
      <c r="K66" s="8">
        <v>0.0</v>
      </c>
      <c r="M66" s="9" t="s">
        <v>286</v>
      </c>
      <c r="N66" s="9" t="s">
        <v>287</v>
      </c>
    </row>
    <row r="67">
      <c r="A67" s="10">
        <v>65.0</v>
      </c>
      <c r="B67" s="6" t="s">
        <v>169</v>
      </c>
      <c r="C67" s="7"/>
      <c r="D67" s="7"/>
      <c r="E67" s="8">
        <v>65.0</v>
      </c>
      <c r="F67" s="9" t="str">
        <f t="array" ref="F67:K78">"input[4][" &amp; (COLUMN(A1:F1)-COLUMN(A1) + 2*(ROW(O4:O15)-ROW(O4))) &amp; "]"</f>
        <v>input[4][0]</v>
      </c>
      <c r="G67" s="9" t="s">
        <v>288</v>
      </c>
      <c r="H67" s="9" t="s">
        <v>289</v>
      </c>
      <c r="I67" s="9" t="s">
        <v>290</v>
      </c>
      <c r="J67" s="9" t="s">
        <v>291</v>
      </c>
      <c r="K67" s="9" t="s">
        <v>292</v>
      </c>
      <c r="M67" s="9" t="s">
        <v>293</v>
      </c>
      <c r="N67" s="9" t="s">
        <v>294</v>
      </c>
    </row>
    <row r="68">
      <c r="A68" s="10">
        <v>66.0</v>
      </c>
      <c r="B68" s="6" t="s">
        <v>170</v>
      </c>
      <c r="C68" s="7"/>
      <c r="D68" s="7"/>
      <c r="E68" s="8">
        <v>66.0</v>
      </c>
      <c r="F68" s="9" t="s">
        <v>289</v>
      </c>
      <c r="G68" s="9" t="s">
        <v>290</v>
      </c>
      <c r="H68" s="9" t="s">
        <v>291</v>
      </c>
      <c r="I68" s="9" t="s">
        <v>292</v>
      </c>
      <c r="J68" s="9" t="s">
        <v>295</v>
      </c>
      <c r="K68" s="9" t="s">
        <v>296</v>
      </c>
      <c r="M68" s="9" t="s">
        <v>297</v>
      </c>
      <c r="N68" s="9" t="s">
        <v>298</v>
      </c>
    </row>
    <row r="69">
      <c r="A69" s="10">
        <v>67.0</v>
      </c>
      <c r="B69" s="6" t="s">
        <v>171</v>
      </c>
      <c r="C69" s="7"/>
      <c r="D69" s="7"/>
      <c r="E69" s="8">
        <v>67.0</v>
      </c>
      <c r="F69" s="9" t="s">
        <v>291</v>
      </c>
      <c r="G69" s="9" t="s">
        <v>292</v>
      </c>
      <c r="H69" s="9" t="s">
        <v>295</v>
      </c>
      <c r="I69" s="9" t="s">
        <v>296</v>
      </c>
      <c r="J69" s="9" t="s">
        <v>299</v>
      </c>
      <c r="K69" s="9" t="s">
        <v>300</v>
      </c>
      <c r="M69" s="9" t="s">
        <v>301</v>
      </c>
      <c r="N69" s="9" t="s">
        <v>302</v>
      </c>
    </row>
    <row r="70">
      <c r="A70" s="10">
        <v>68.0</v>
      </c>
      <c r="B70" s="6" t="s">
        <v>172</v>
      </c>
      <c r="C70" s="7"/>
      <c r="D70" s="7"/>
      <c r="E70" s="8">
        <v>68.0</v>
      </c>
      <c r="F70" s="9" t="s">
        <v>295</v>
      </c>
      <c r="G70" s="9" t="s">
        <v>296</v>
      </c>
      <c r="H70" s="9" t="s">
        <v>299</v>
      </c>
      <c r="I70" s="9" t="s">
        <v>300</v>
      </c>
      <c r="J70" s="9" t="s">
        <v>303</v>
      </c>
      <c r="K70" s="9" t="s">
        <v>304</v>
      </c>
      <c r="M70" s="9" t="s">
        <v>305</v>
      </c>
      <c r="N70" s="9" t="s">
        <v>306</v>
      </c>
    </row>
    <row r="71">
      <c r="A71" s="10">
        <v>69.0</v>
      </c>
      <c r="B71" s="6" t="s">
        <v>173</v>
      </c>
      <c r="C71" s="7"/>
      <c r="D71" s="7"/>
      <c r="E71" s="8">
        <v>69.0</v>
      </c>
      <c r="F71" s="9" t="s">
        <v>299</v>
      </c>
      <c r="G71" s="9" t="s">
        <v>300</v>
      </c>
      <c r="H71" s="9" t="s">
        <v>303</v>
      </c>
      <c r="I71" s="9" t="s">
        <v>304</v>
      </c>
      <c r="J71" s="9" t="s">
        <v>307</v>
      </c>
      <c r="K71" s="9" t="s">
        <v>308</v>
      </c>
      <c r="M71" s="9" t="s">
        <v>309</v>
      </c>
      <c r="N71" s="9" t="s">
        <v>310</v>
      </c>
    </row>
    <row r="72">
      <c r="A72" s="10">
        <v>70.0</v>
      </c>
      <c r="B72" s="6" t="s">
        <v>176</v>
      </c>
      <c r="C72" s="7"/>
      <c r="D72" s="7"/>
      <c r="E72" s="8">
        <v>70.0</v>
      </c>
      <c r="F72" s="9" t="s">
        <v>303</v>
      </c>
      <c r="G72" s="9" t="s">
        <v>304</v>
      </c>
      <c r="H72" s="9" t="s">
        <v>307</v>
      </c>
      <c r="I72" s="9" t="s">
        <v>308</v>
      </c>
      <c r="J72" s="9" t="s">
        <v>311</v>
      </c>
      <c r="K72" s="9" t="s">
        <v>312</v>
      </c>
      <c r="M72" s="9" t="s">
        <v>313</v>
      </c>
      <c r="N72" s="9" t="s">
        <v>314</v>
      </c>
    </row>
    <row r="73">
      <c r="A73" s="10">
        <v>71.0</v>
      </c>
      <c r="B73" s="6" t="s">
        <v>177</v>
      </c>
      <c r="C73" s="7"/>
      <c r="D73" s="7"/>
      <c r="E73" s="8">
        <v>71.0</v>
      </c>
      <c r="F73" s="9" t="s">
        <v>307</v>
      </c>
      <c r="G73" s="9" t="s">
        <v>308</v>
      </c>
      <c r="H73" s="9" t="s">
        <v>311</v>
      </c>
      <c r="I73" s="9" t="s">
        <v>312</v>
      </c>
      <c r="J73" s="9" t="s">
        <v>315</v>
      </c>
      <c r="K73" s="9" t="s">
        <v>316</v>
      </c>
      <c r="M73" s="9" t="s">
        <v>317</v>
      </c>
      <c r="N73" s="9" t="s">
        <v>318</v>
      </c>
    </row>
    <row r="74">
      <c r="A74" s="10">
        <v>72.0</v>
      </c>
      <c r="B74" s="6" t="s">
        <v>180</v>
      </c>
      <c r="C74" s="7"/>
      <c r="D74" s="7"/>
      <c r="E74" s="8">
        <v>72.0</v>
      </c>
      <c r="F74" s="9" t="s">
        <v>311</v>
      </c>
      <c r="G74" s="9" t="s">
        <v>312</v>
      </c>
      <c r="H74" s="9" t="s">
        <v>315</v>
      </c>
      <c r="I74" s="9" t="s">
        <v>316</v>
      </c>
      <c r="J74" s="9" t="s">
        <v>319</v>
      </c>
      <c r="K74" s="9" t="s">
        <v>320</v>
      </c>
      <c r="M74" s="9" t="s">
        <v>321</v>
      </c>
      <c r="N74" s="9" t="s">
        <v>322</v>
      </c>
    </row>
    <row r="75">
      <c r="A75" s="10">
        <v>73.0</v>
      </c>
      <c r="B75" s="6" t="s">
        <v>181</v>
      </c>
      <c r="C75" s="7"/>
      <c r="D75" s="7"/>
      <c r="E75" s="8">
        <v>73.0</v>
      </c>
      <c r="F75" s="9" t="s">
        <v>315</v>
      </c>
      <c r="G75" s="9" t="s">
        <v>316</v>
      </c>
      <c r="H75" s="9" t="s">
        <v>319</v>
      </c>
      <c r="I75" s="9" t="s">
        <v>320</v>
      </c>
      <c r="J75" s="9" t="s">
        <v>323</v>
      </c>
      <c r="K75" s="9" t="s">
        <v>324</v>
      </c>
      <c r="M75" s="9" t="s">
        <v>325</v>
      </c>
      <c r="N75" s="9" t="s">
        <v>326</v>
      </c>
    </row>
    <row r="76">
      <c r="A76" s="10">
        <v>74.0</v>
      </c>
      <c r="B76" s="6" t="s">
        <v>184</v>
      </c>
      <c r="C76" s="7"/>
      <c r="D76" s="7"/>
      <c r="E76" s="8">
        <v>74.0</v>
      </c>
      <c r="F76" s="9" t="s">
        <v>319</v>
      </c>
      <c r="G76" s="9" t="s">
        <v>320</v>
      </c>
      <c r="H76" s="9" t="s">
        <v>323</v>
      </c>
      <c r="I76" s="9" t="s">
        <v>324</v>
      </c>
      <c r="J76" s="9" t="s">
        <v>327</v>
      </c>
      <c r="K76" s="9" t="s">
        <v>328</v>
      </c>
      <c r="M76" s="9" t="s">
        <v>329</v>
      </c>
      <c r="N76" s="9" t="s">
        <v>330</v>
      </c>
    </row>
    <row r="77">
      <c r="A77" s="10">
        <v>75.0</v>
      </c>
      <c r="B77" s="6" t="s">
        <v>185</v>
      </c>
      <c r="C77" s="7"/>
      <c r="D77" s="7"/>
      <c r="E77" s="8">
        <v>75.0</v>
      </c>
      <c r="F77" s="9" t="s">
        <v>323</v>
      </c>
      <c r="G77" s="9" t="s">
        <v>324</v>
      </c>
      <c r="H77" s="9" t="s">
        <v>327</v>
      </c>
      <c r="I77" s="9" t="s">
        <v>328</v>
      </c>
      <c r="J77" s="9" t="s">
        <v>331</v>
      </c>
      <c r="K77" s="9" t="s">
        <v>332</v>
      </c>
      <c r="M77" s="9" t="s">
        <v>333</v>
      </c>
      <c r="N77" s="9" t="s">
        <v>334</v>
      </c>
    </row>
    <row r="78">
      <c r="A78" s="10">
        <v>76.0</v>
      </c>
      <c r="B78" s="6" t="s">
        <v>188</v>
      </c>
      <c r="C78" s="7"/>
      <c r="D78" s="7"/>
      <c r="E78" s="8">
        <v>76.0</v>
      </c>
      <c r="F78" s="9" t="s">
        <v>327</v>
      </c>
      <c r="G78" s="9" t="s">
        <v>328</v>
      </c>
      <c r="H78" s="9" t="s">
        <v>331</v>
      </c>
      <c r="I78" s="9" t="s">
        <v>332</v>
      </c>
      <c r="J78" s="9" t="s">
        <v>335</v>
      </c>
      <c r="K78" s="9" t="s">
        <v>336</v>
      </c>
      <c r="M78" s="9" t="s">
        <v>337</v>
      </c>
      <c r="N78" s="9" t="s">
        <v>338</v>
      </c>
    </row>
    <row r="79">
      <c r="A79" s="10">
        <v>77.0</v>
      </c>
      <c r="B79" s="6" t="s">
        <v>189</v>
      </c>
      <c r="C79" s="7"/>
      <c r="D79" s="7"/>
      <c r="E79" s="8">
        <v>77.0</v>
      </c>
      <c r="F79" s="8">
        <v>0.0</v>
      </c>
      <c r="G79" s="8">
        <v>0.0</v>
      </c>
      <c r="H79" s="8">
        <v>0.0</v>
      </c>
      <c r="I79" s="8">
        <v>0.0</v>
      </c>
      <c r="J79" s="8">
        <v>0.0</v>
      </c>
      <c r="K79" s="8">
        <v>0.0</v>
      </c>
      <c r="M79" s="9" t="s">
        <v>339</v>
      </c>
      <c r="N79" s="9" t="s">
        <v>340</v>
      </c>
    </row>
    <row r="80">
      <c r="A80" s="10">
        <v>78.0</v>
      </c>
      <c r="B80" s="6" t="s">
        <v>192</v>
      </c>
      <c r="C80" s="7"/>
      <c r="D80" s="7"/>
      <c r="E80" s="8">
        <v>78.0</v>
      </c>
      <c r="F80" s="8">
        <v>0.0</v>
      </c>
      <c r="G80" s="8">
        <v>0.0</v>
      </c>
      <c r="H80" s="8">
        <v>0.0</v>
      </c>
      <c r="I80" s="8">
        <v>0.0</v>
      </c>
      <c r="J80" s="8">
        <v>0.0</v>
      </c>
      <c r="K80" s="8">
        <v>0.0</v>
      </c>
      <c r="M80" s="9" t="s">
        <v>341</v>
      </c>
      <c r="N80" s="9" t="s">
        <v>342</v>
      </c>
    </row>
    <row r="81">
      <c r="A81" s="10">
        <v>79.0</v>
      </c>
      <c r="B81" s="6" t="s">
        <v>193</v>
      </c>
      <c r="C81" s="7"/>
      <c r="D81" s="7"/>
      <c r="E81" s="8">
        <v>79.0</v>
      </c>
      <c r="F81" s="8">
        <v>0.0</v>
      </c>
      <c r="G81" s="8">
        <v>0.0</v>
      </c>
      <c r="H81" s="8">
        <v>0.0</v>
      </c>
      <c r="I81" s="8">
        <v>0.0</v>
      </c>
      <c r="J81" s="8">
        <v>0.0</v>
      </c>
      <c r="K81" s="8">
        <v>0.0</v>
      </c>
      <c r="M81" s="9" t="s">
        <v>343</v>
      </c>
      <c r="N81" s="9" t="s">
        <v>344</v>
      </c>
    </row>
    <row r="82">
      <c r="A82" s="10">
        <v>80.0</v>
      </c>
      <c r="B82" s="6" t="s">
        <v>196</v>
      </c>
      <c r="C82" s="7"/>
      <c r="D82" s="7"/>
      <c r="E82" s="8">
        <v>80.0</v>
      </c>
      <c r="F82" s="8">
        <v>0.0</v>
      </c>
      <c r="G82" s="8">
        <v>0.0</v>
      </c>
      <c r="H82" s="8">
        <v>0.0</v>
      </c>
      <c r="I82" s="8">
        <v>0.0</v>
      </c>
      <c r="J82" s="8">
        <v>0.0</v>
      </c>
      <c r="K82" s="8">
        <v>0.0</v>
      </c>
      <c r="M82" s="9" t="s">
        <v>345</v>
      </c>
      <c r="N82" s="9" t="s">
        <v>346</v>
      </c>
    </row>
    <row r="83">
      <c r="A83" s="10">
        <v>81.0</v>
      </c>
      <c r="B83" s="6" t="s">
        <v>197</v>
      </c>
      <c r="C83" s="7"/>
      <c r="D83" s="7"/>
      <c r="E83" s="8">
        <v>81.0</v>
      </c>
      <c r="F83" s="9" t="str">
        <f t="array" ref="F83:K94">"input[5][" &amp; (COLUMN(A1:F1)-COLUMN(A1) + 2*(ROW(O4:O15)-ROW(O4))) &amp; "]"</f>
        <v>input[5][0]</v>
      </c>
      <c r="G83" s="9" t="s">
        <v>347</v>
      </c>
      <c r="H83" s="9" t="s">
        <v>348</v>
      </c>
      <c r="I83" s="9" t="s">
        <v>349</v>
      </c>
      <c r="J83" s="9" t="s">
        <v>350</v>
      </c>
      <c r="K83" s="9" t="s">
        <v>351</v>
      </c>
      <c r="M83" s="9" t="s">
        <v>352</v>
      </c>
      <c r="N83" s="9" t="s">
        <v>353</v>
      </c>
    </row>
    <row r="84">
      <c r="A84" s="10">
        <v>82.0</v>
      </c>
      <c r="B84" s="6" t="s">
        <v>200</v>
      </c>
      <c r="C84" s="7"/>
      <c r="D84" s="7"/>
      <c r="E84" s="8">
        <v>82.0</v>
      </c>
      <c r="F84" s="9" t="s">
        <v>348</v>
      </c>
      <c r="G84" s="9" t="s">
        <v>349</v>
      </c>
      <c r="H84" s="9" t="s">
        <v>350</v>
      </c>
      <c r="I84" s="9" t="s">
        <v>351</v>
      </c>
      <c r="J84" s="9" t="s">
        <v>354</v>
      </c>
      <c r="K84" s="9" t="s">
        <v>355</v>
      </c>
      <c r="M84" s="9" t="s">
        <v>356</v>
      </c>
      <c r="N84" s="9" t="s">
        <v>357</v>
      </c>
    </row>
    <row r="85">
      <c r="A85" s="10">
        <v>83.0</v>
      </c>
      <c r="B85" s="6" t="s">
        <v>201</v>
      </c>
      <c r="C85" s="7"/>
      <c r="D85" s="7"/>
      <c r="E85" s="8">
        <v>83.0</v>
      </c>
      <c r="F85" s="9" t="s">
        <v>350</v>
      </c>
      <c r="G85" s="9" t="s">
        <v>351</v>
      </c>
      <c r="H85" s="9" t="s">
        <v>354</v>
      </c>
      <c r="I85" s="9" t="s">
        <v>355</v>
      </c>
      <c r="J85" s="9" t="s">
        <v>358</v>
      </c>
      <c r="K85" s="9" t="s">
        <v>359</v>
      </c>
      <c r="M85" s="9" t="s">
        <v>360</v>
      </c>
      <c r="N85" s="9" t="s">
        <v>361</v>
      </c>
    </row>
    <row r="86">
      <c r="A86" s="10">
        <v>84.0</v>
      </c>
      <c r="B86" s="6" t="s">
        <v>204</v>
      </c>
      <c r="C86" s="7"/>
      <c r="D86" s="7"/>
      <c r="E86" s="8">
        <v>84.0</v>
      </c>
      <c r="F86" s="9" t="s">
        <v>354</v>
      </c>
      <c r="G86" s="9" t="s">
        <v>355</v>
      </c>
      <c r="H86" s="9" t="s">
        <v>358</v>
      </c>
      <c r="I86" s="9" t="s">
        <v>359</v>
      </c>
      <c r="J86" s="9" t="s">
        <v>362</v>
      </c>
      <c r="K86" s="9" t="s">
        <v>363</v>
      </c>
      <c r="M86" s="9" t="s">
        <v>364</v>
      </c>
      <c r="N86" s="9" t="s">
        <v>365</v>
      </c>
    </row>
    <row r="87">
      <c r="A87" s="10">
        <v>85.0</v>
      </c>
      <c r="B87" s="6" t="s">
        <v>205</v>
      </c>
      <c r="C87" s="7"/>
      <c r="D87" s="7"/>
      <c r="E87" s="8">
        <v>85.0</v>
      </c>
      <c r="F87" s="9" t="s">
        <v>358</v>
      </c>
      <c r="G87" s="9" t="s">
        <v>359</v>
      </c>
      <c r="H87" s="9" t="s">
        <v>362</v>
      </c>
      <c r="I87" s="9" t="s">
        <v>363</v>
      </c>
      <c r="J87" s="9" t="s">
        <v>366</v>
      </c>
      <c r="K87" s="9" t="s">
        <v>367</v>
      </c>
      <c r="M87" s="9" t="s">
        <v>368</v>
      </c>
      <c r="N87" s="9" t="s">
        <v>369</v>
      </c>
    </row>
    <row r="88">
      <c r="A88" s="10">
        <v>86.0</v>
      </c>
      <c r="B88" s="6" t="s">
        <v>208</v>
      </c>
      <c r="C88" s="7"/>
      <c r="D88" s="7"/>
      <c r="E88" s="8">
        <v>86.0</v>
      </c>
      <c r="F88" s="9" t="s">
        <v>362</v>
      </c>
      <c r="G88" s="9" t="s">
        <v>363</v>
      </c>
      <c r="H88" s="9" t="s">
        <v>366</v>
      </c>
      <c r="I88" s="9" t="s">
        <v>367</v>
      </c>
      <c r="J88" s="9" t="s">
        <v>370</v>
      </c>
      <c r="K88" s="9" t="s">
        <v>371</v>
      </c>
      <c r="M88" s="9" t="s">
        <v>372</v>
      </c>
      <c r="N88" s="9" t="s">
        <v>373</v>
      </c>
    </row>
    <row r="89">
      <c r="A89" s="10">
        <v>87.0</v>
      </c>
      <c r="B89" s="6" t="s">
        <v>209</v>
      </c>
      <c r="C89" s="7"/>
      <c r="D89" s="7"/>
      <c r="E89" s="8">
        <v>87.0</v>
      </c>
      <c r="F89" s="9" t="s">
        <v>366</v>
      </c>
      <c r="G89" s="9" t="s">
        <v>367</v>
      </c>
      <c r="H89" s="9" t="s">
        <v>370</v>
      </c>
      <c r="I89" s="9" t="s">
        <v>371</v>
      </c>
      <c r="J89" s="9" t="s">
        <v>374</v>
      </c>
      <c r="K89" s="9" t="s">
        <v>375</v>
      </c>
      <c r="M89" s="9" t="s">
        <v>376</v>
      </c>
      <c r="N89" s="9" t="s">
        <v>377</v>
      </c>
    </row>
    <row r="90">
      <c r="A90" s="10">
        <v>88.0</v>
      </c>
      <c r="B90" s="6" t="s">
        <v>212</v>
      </c>
      <c r="C90" s="7"/>
      <c r="D90" s="7"/>
      <c r="E90" s="8">
        <v>88.0</v>
      </c>
      <c r="F90" s="9" t="s">
        <v>370</v>
      </c>
      <c r="G90" s="9" t="s">
        <v>371</v>
      </c>
      <c r="H90" s="9" t="s">
        <v>374</v>
      </c>
      <c r="I90" s="9" t="s">
        <v>375</v>
      </c>
      <c r="J90" s="9" t="s">
        <v>378</v>
      </c>
      <c r="K90" s="9" t="s">
        <v>379</v>
      </c>
      <c r="M90" s="9" t="s">
        <v>380</v>
      </c>
      <c r="N90" s="9" t="s">
        <v>381</v>
      </c>
    </row>
    <row r="91">
      <c r="A91" s="10">
        <v>89.0</v>
      </c>
      <c r="B91" s="6" t="s">
        <v>213</v>
      </c>
      <c r="C91" s="7"/>
      <c r="D91" s="7"/>
      <c r="E91" s="8">
        <v>89.0</v>
      </c>
      <c r="F91" s="9" t="s">
        <v>374</v>
      </c>
      <c r="G91" s="9" t="s">
        <v>375</v>
      </c>
      <c r="H91" s="9" t="s">
        <v>378</v>
      </c>
      <c r="I91" s="9" t="s">
        <v>379</v>
      </c>
      <c r="J91" s="9" t="s">
        <v>382</v>
      </c>
      <c r="K91" s="9" t="s">
        <v>383</v>
      </c>
      <c r="M91" s="9" t="s">
        <v>384</v>
      </c>
      <c r="N91" s="9" t="s">
        <v>385</v>
      </c>
    </row>
    <row r="92">
      <c r="A92" s="10">
        <v>90.0</v>
      </c>
      <c r="B92" s="6" t="s">
        <v>216</v>
      </c>
      <c r="C92" s="7"/>
      <c r="D92" s="7"/>
      <c r="E92" s="8">
        <v>90.0</v>
      </c>
      <c r="F92" s="9" t="s">
        <v>378</v>
      </c>
      <c r="G92" s="9" t="s">
        <v>379</v>
      </c>
      <c r="H92" s="9" t="s">
        <v>382</v>
      </c>
      <c r="I92" s="9" t="s">
        <v>383</v>
      </c>
      <c r="J92" s="9" t="s">
        <v>386</v>
      </c>
      <c r="K92" s="9" t="s">
        <v>387</v>
      </c>
      <c r="M92" s="9" t="s">
        <v>388</v>
      </c>
      <c r="N92" s="9" t="s">
        <v>389</v>
      </c>
    </row>
    <row r="93">
      <c r="A93" s="10">
        <v>91.0</v>
      </c>
      <c r="B93" s="6" t="s">
        <v>217</v>
      </c>
      <c r="C93" s="7"/>
      <c r="D93" s="7"/>
      <c r="E93" s="8">
        <v>91.0</v>
      </c>
      <c r="F93" s="9" t="s">
        <v>382</v>
      </c>
      <c r="G93" s="9" t="s">
        <v>383</v>
      </c>
      <c r="H93" s="9" t="s">
        <v>386</v>
      </c>
      <c r="I93" s="9" t="s">
        <v>387</v>
      </c>
      <c r="J93" s="9" t="s">
        <v>390</v>
      </c>
      <c r="K93" s="9" t="s">
        <v>391</v>
      </c>
      <c r="M93" s="9" t="s">
        <v>392</v>
      </c>
      <c r="N93" s="9" t="s">
        <v>393</v>
      </c>
    </row>
    <row r="94">
      <c r="A94" s="10">
        <v>92.0</v>
      </c>
      <c r="C94" s="7"/>
      <c r="D94" s="7"/>
      <c r="E94" s="8">
        <v>92.0</v>
      </c>
      <c r="F94" s="9" t="s">
        <v>386</v>
      </c>
      <c r="G94" s="9" t="s">
        <v>387</v>
      </c>
      <c r="H94" s="9" t="s">
        <v>390</v>
      </c>
      <c r="I94" s="9" t="s">
        <v>391</v>
      </c>
      <c r="J94" s="9" t="s">
        <v>394</v>
      </c>
      <c r="K94" s="9" t="s">
        <v>395</v>
      </c>
      <c r="M94" s="9" t="s">
        <v>396</v>
      </c>
      <c r="N94" s="9" t="s">
        <v>397</v>
      </c>
    </row>
    <row r="95">
      <c r="A95" s="10">
        <v>93.0</v>
      </c>
      <c r="C95" s="7"/>
      <c r="D95" s="7"/>
      <c r="E95" s="8">
        <v>93.0</v>
      </c>
      <c r="F95" s="8">
        <v>0.0</v>
      </c>
      <c r="G95" s="8">
        <v>0.0</v>
      </c>
      <c r="H95" s="8">
        <v>0.0</v>
      </c>
      <c r="I95" s="8">
        <v>0.0</v>
      </c>
      <c r="J95" s="8">
        <v>0.0</v>
      </c>
      <c r="K95" s="8">
        <v>0.0</v>
      </c>
      <c r="M95" s="9" t="s">
        <v>398</v>
      </c>
      <c r="N95" s="9" t="s">
        <v>399</v>
      </c>
    </row>
    <row r="96">
      <c r="A96" s="10">
        <v>94.0</v>
      </c>
      <c r="C96" s="7"/>
      <c r="D96" s="7"/>
      <c r="E96" s="8">
        <v>94.0</v>
      </c>
      <c r="F96" s="8">
        <v>0.0</v>
      </c>
      <c r="G96" s="8">
        <v>0.0</v>
      </c>
      <c r="H96" s="8">
        <v>0.0</v>
      </c>
      <c r="I96" s="8">
        <v>0.0</v>
      </c>
      <c r="J96" s="8">
        <v>0.0</v>
      </c>
      <c r="K96" s="8">
        <v>0.0</v>
      </c>
      <c r="M96" s="9" t="s">
        <v>400</v>
      </c>
      <c r="N96" s="9" t="s">
        <v>401</v>
      </c>
    </row>
    <row r="97">
      <c r="A97" s="10">
        <v>95.0</v>
      </c>
      <c r="C97" s="7"/>
      <c r="D97" s="7"/>
      <c r="E97" s="8">
        <v>95.0</v>
      </c>
      <c r="F97" s="8">
        <v>0.0</v>
      </c>
      <c r="G97" s="8">
        <v>0.0</v>
      </c>
      <c r="H97" s="8">
        <v>0.0</v>
      </c>
      <c r="I97" s="8">
        <v>0.0</v>
      </c>
      <c r="J97" s="8">
        <v>0.0</v>
      </c>
      <c r="K97" s="8">
        <v>0.0</v>
      </c>
      <c r="M97" s="9" t="s">
        <v>402</v>
      </c>
      <c r="N97" s="9" t="s">
        <v>403</v>
      </c>
    </row>
    <row r="98">
      <c r="A98" s="10">
        <v>96.0</v>
      </c>
      <c r="B98" s="6" t="s">
        <v>404</v>
      </c>
      <c r="C98" s="7"/>
      <c r="D98" s="7"/>
      <c r="E98" s="8">
        <v>96.0</v>
      </c>
      <c r="F98" s="8">
        <v>0.0</v>
      </c>
      <c r="G98" s="8">
        <v>0.0</v>
      </c>
      <c r="H98" s="8">
        <v>0.0</v>
      </c>
      <c r="I98" s="8">
        <v>0.0</v>
      </c>
      <c r="J98" s="8">
        <v>0.0</v>
      </c>
      <c r="K98" s="8">
        <v>0.0</v>
      </c>
      <c r="M98" s="9" t="s">
        <v>405</v>
      </c>
      <c r="N98" s="9" t="s">
        <v>406</v>
      </c>
    </row>
    <row r="99">
      <c r="A99" s="10">
        <v>97.0</v>
      </c>
      <c r="B99" s="6" t="s">
        <v>228</v>
      </c>
      <c r="C99" s="7"/>
      <c r="D99" s="7"/>
      <c r="E99" s="8">
        <v>97.0</v>
      </c>
      <c r="F99" s="9" t="str">
        <f t="array" ref="F99:K110">"input[6][" &amp; (COLUMN(A1:F1)-COLUMN(A1) + 2*(ROW(O4:O15)-ROW(O4))) &amp; "]"</f>
        <v>input[6][0]</v>
      </c>
      <c r="G99" s="9" t="s">
        <v>407</v>
      </c>
      <c r="H99" s="9" t="s">
        <v>408</v>
      </c>
      <c r="I99" s="9" t="s">
        <v>409</v>
      </c>
      <c r="J99" s="9" t="s">
        <v>410</v>
      </c>
      <c r="K99" s="9" t="s">
        <v>411</v>
      </c>
      <c r="M99" s="9" t="s">
        <v>412</v>
      </c>
      <c r="N99" s="9" t="s">
        <v>413</v>
      </c>
    </row>
    <row r="100">
      <c r="A100" s="10">
        <v>98.0</v>
      </c>
      <c r="B100" s="6" t="s">
        <v>229</v>
      </c>
      <c r="C100" s="7"/>
      <c r="D100" s="7"/>
      <c r="E100" s="8">
        <v>98.0</v>
      </c>
      <c r="F100" s="9" t="s">
        <v>408</v>
      </c>
      <c r="G100" s="9" t="s">
        <v>409</v>
      </c>
      <c r="H100" s="9" t="s">
        <v>410</v>
      </c>
      <c r="I100" s="9" t="s">
        <v>411</v>
      </c>
      <c r="J100" s="9" t="s">
        <v>414</v>
      </c>
      <c r="K100" s="9" t="s">
        <v>415</v>
      </c>
      <c r="M100" s="9" t="s">
        <v>416</v>
      </c>
      <c r="N100" s="9" t="s">
        <v>417</v>
      </c>
    </row>
    <row r="101">
      <c r="A101" s="10">
        <v>99.0</v>
      </c>
      <c r="B101" s="6" t="s">
        <v>230</v>
      </c>
      <c r="C101" s="7"/>
      <c r="D101" s="7"/>
      <c r="E101" s="8">
        <v>99.0</v>
      </c>
      <c r="F101" s="9" t="s">
        <v>410</v>
      </c>
      <c r="G101" s="9" t="s">
        <v>411</v>
      </c>
      <c r="H101" s="9" t="s">
        <v>414</v>
      </c>
      <c r="I101" s="9" t="s">
        <v>415</v>
      </c>
      <c r="J101" s="9" t="s">
        <v>418</v>
      </c>
      <c r="K101" s="9" t="s">
        <v>419</v>
      </c>
      <c r="M101" s="9" t="s">
        <v>420</v>
      </c>
      <c r="N101" s="9" t="s">
        <v>421</v>
      </c>
    </row>
    <row r="102">
      <c r="A102" s="10">
        <v>100.0</v>
      </c>
      <c r="B102" s="6" t="s">
        <v>231</v>
      </c>
      <c r="C102" s="7"/>
      <c r="D102" s="7"/>
      <c r="E102" s="8">
        <v>100.0</v>
      </c>
      <c r="F102" s="9" t="s">
        <v>414</v>
      </c>
      <c r="G102" s="9" t="s">
        <v>415</v>
      </c>
      <c r="H102" s="9" t="s">
        <v>418</v>
      </c>
      <c r="I102" s="9" t="s">
        <v>419</v>
      </c>
      <c r="J102" s="9" t="s">
        <v>422</v>
      </c>
      <c r="K102" s="9" t="s">
        <v>423</v>
      </c>
      <c r="M102" s="9" t="s">
        <v>424</v>
      </c>
      <c r="N102" s="9" t="s">
        <v>425</v>
      </c>
    </row>
    <row r="103">
      <c r="A103" s="10">
        <v>101.0</v>
      </c>
      <c r="B103" s="6" t="s">
        <v>232</v>
      </c>
      <c r="C103" s="7"/>
      <c r="D103" s="7"/>
      <c r="E103" s="8">
        <v>101.0</v>
      </c>
      <c r="F103" s="9" t="s">
        <v>418</v>
      </c>
      <c r="G103" s="9" t="s">
        <v>419</v>
      </c>
      <c r="H103" s="9" t="s">
        <v>422</v>
      </c>
      <c r="I103" s="9" t="s">
        <v>423</v>
      </c>
      <c r="J103" s="9" t="s">
        <v>426</v>
      </c>
      <c r="K103" s="9" t="s">
        <v>427</v>
      </c>
      <c r="M103" s="9" t="s">
        <v>428</v>
      </c>
      <c r="N103" s="9" t="s">
        <v>429</v>
      </c>
    </row>
    <row r="104">
      <c r="A104" s="10">
        <v>102.0</v>
      </c>
      <c r="B104" s="6" t="s">
        <v>235</v>
      </c>
      <c r="C104" s="7"/>
      <c r="D104" s="7"/>
      <c r="E104" s="8">
        <v>102.0</v>
      </c>
      <c r="F104" s="9" t="s">
        <v>422</v>
      </c>
      <c r="G104" s="9" t="s">
        <v>423</v>
      </c>
      <c r="H104" s="9" t="s">
        <v>426</v>
      </c>
      <c r="I104" s="9" t="s">
        <v>427</v>
      </c>
      <c r="J104" s="9" t="s">
        <v>430</v>
      </c>
      <c r="K104" s="9" t="s">
        <v>431</v>
      </c>
      <c r="M104" s="9" t="s">
        <v>432</v>
      </c>
      <c r="N104" s="9" t="s">
        <v>433</v>
      </c>
    </row>
    <row r="105">
      <c r="A105" s="10">
        <v>103.0</v>
      </c>
      <c r="B105" s="6" t="s">
        <v>236</v>
      </c>
      <c r="C105" s="7"/>
      <c r="D105" s="7"/>
      <c r="E105" s="8">
        <v>103.0</v>
      </c>
      <c r="F105" s="9" t="s">
        <v>426</v>
      </c>
      <c r="G105" s="9" t="s">
        <v>427</v>
      </c>
      <c r="H105" s="9" t="s">
        <v>430</v>
      </c>
      <c r="I105" s="9" t="s">
        <v>431</v>
      </c>
      <c r="J105" s="9" t="s">
        <v>434</v>
      </c>
      <c r="K105" s="9" t="s">
        <v>435</v>
      </c>
      <c r="M105" s="9" t="s">
        <v>436</v>
      </c>
      <c r="N105" s="9" t="s">
        <v>437</v>
      </c>
    </row>
    <row r="106">
      <c r="A106" s="10">
        <v>104.0</v>
      </c>
      <c r="B106" s="6" t="s">
        <v>239</v>
      </c>
      <c r="C106" s="7"/>
      <c r="D106" s="7"/>
      <c r="E106" s="8">
        <v>104.0</v>
      </c>
      <c r="F106" s="9" t="s">
        <v>430</v>
      </c>
      <c r="G106" s="9" t="s">
        <v>431</v>
      </c>
      <c r="H106" s="9" t="s">
        <v>434</v>
      </c>
      <c r="I106" s="9" t="s">
        <v>435</v>
      </c>
      <c r="J106" s="9" t="s">
        <v>438</v>
      </c>
      <c r="K106" s="9" t="s">
        <v>439</v>
      </c>
      <c r="M106" s="9" t="s">
        <v>440</v>
      </c>
      <c r="N106" s="9" t="s">
        <v>441</v>
      </c>
    </row>
    <row r="107">
      <c r="A107" s="10">
        <v>105.0</v>
      </c>
      <c r="B107" s="6" t="s">
        <v>240</v>
      </c>
      <c r="C107" s="7"/>
      <c r="D107" s="7"/>
      <c r="E107" s="8">
        <v>105.0</v>
      </c>
      <c r="F107" s="9" t="s">
        <v>434</v>
      </c>
      <c r="G107" s="9" t="s">
        <v>435</v>
      </c>
      <c r="H107" s="9" t="s">
        <v>438</v>
      </c>
      <c r="I107" s="9" t="s">
        <v>439</v>
      </c>
      <c r="J107" s="9" t="s">
        <v>442</v>
      </c>
      <c r="K107" s="9" t="s">
        <v>443</v>
      </c>
      <c r="M107" s="9" t="s">
        <v>444</v>
      </c>
      <c r="N107" s="9" t="s">
        <v>445</v>
      </c>
    </row>
    <row r="108">
      <c r="A108" s="10">
        <v>106.0</v>
      </c>
      <c r="B108" s="6" t="s">
        <v>243</v>
      </c>
      <c r="C108" s="7"/>
      <c r="D108" s="7"/>
      <c r="E108" s="8">
        <v>106.0</v>
      </c>
      <c r="F108" s="9" t="s">
        <v>438</v>
      </c>
      <c r="G108" s="9" t="s">
        <v>439</v>
      </c>
      <c r="H108" s="9" t="s">
        <v>442</v>
      </c>
      <c r="I108" s="9" t="s">
        <v>443</v>
      </c>
      <c r="J108" s="9" t="s">
        <v>446</v>
      </c>
      <c r="K108" s="9" t="s">
        <v>447</v>
      </c>
      <c r="M108" s="9" t="s">
        <v>448</v>
      </c>
      <c r="N108" s="9" t="s">
        <v>449</v>
      </c>
    </row>
    <row r="109">
      <c r="A109" s="10">
        <v>107.0</v>
      </c>
      <c r="B109" s="6" t="s">
        <v>244</v>
      </c>
      <c r="C109" s="7"/>
      <c r="D109" s="7"/>
      <c r="E109" s="8">
        <v>107.0</v>
      </c>
      <c r="F109" s="9" t="s">
        <v>442</v>
      </c>
      <c r="G109" s="9" t="s">
        <v>443</v>
      </c>
      <c r="H109" s="9" t="s">
        <v>446</v>
      </c>
      <c r="I109" s="9" t="s">
        <v>447</v>
      </c>
      <c r="J109" s="9" t="s">
        <v>450</v>
      </c>
      <c r="K109" s="9" t="s">
        <v>451</v>
      </c>
      <c r="M109" s="9" t="s">
        <v>452</v>
      </c>
      <c r="N109" s="9" t="s">
        <v>453</v>
      </c>
    </row>
    <row r="110">
      <c r="A110" s="10">
        <v>108.0</v>
      </c>
      <c r="B110" s="6" t="s">
        <v>247</v>
      </c>
      <c r="C110" s="7"/>
      <c r="D110" s="7"/>
      <c r="E110" s="8">
        <v>108.0</v>
      </c>
      <c r="F110" s="9" t="s">
        <v>446</v>
      </c>
      <c r="G110" s="9" t="s">
        <v>447</v>
      </c>
      <c r="H110" s="9" t="s">
        <v>450</v>
      </c>
      <c r="I110" s="9" t="s">
        <v>451</v>
      </c>
      <c r="J110" s="9" t="s">
        <v>454</v>
      </c>
      <c r="K110" s="9" t="s">
        <v>455</v>
      </c>
      <c r="M110" s="9" t="s">
        <v>456</v>
      </c>
      <c r="N110" s="9" t="s">
        <v>457</v>
      </c>
    </row>
    <row r="111">
      <c r="A111" s="10">
        <v>109.0</v>
      </c>
      <c r="B111" s="6" t="s">
        <v>248</v>
      </c>
      <c r="C111" s="7"/>
      <c r="D111" s="7"/>
      <c r="E111" s="8">
        <v>109.0</v>
      </c>
      <c r="F111" s="8">
        <v>0.0</v>
      </c>
      <c r="G111" s="8">
        <v>0.0</v>
      </c>
      <c r="H111" s="8">
        <v>0.0</v>
      </c>
      <c r="I111" s="8">
        <v>0.0</v>
      </c>
      <c r="J111" s="8">
        <v>0.0</v>
      </c>
      <c r="K111" s="8">
        <v>0.0</v>
      </c>
      <c r="M111" s="9" t="s">
        <v>458</v>
      </c>
      <c r="N111" s="9" t="s">
        <v>459</v>
      </c>
    </row>
    <row r="112">
      <c r="A112" s="10">
        <v>110.0</v>
      </c>
      <c r="B112" s="6" t="s">
        <v>251</v>
      </c>
      <c r="C112" s="7"/>
      <c r="D112" s="7"/>
      <c r="E112" s="8">
        <v>110.0</v>
      </c>
      <c r="F112" s="8">
        <v>0.0</v>
      </c>
      <c r="G112" s="8">
        <v>0.0</v>
      </c>
      <c r="H112" s="8">
        <v>0.0</v>
      </c>
      <c r="I112" s="8">
        <v>0.0</v>
      </c>
      <c r="J112" s="8">
        <v>0.0</v>
      </c>
      <c r="K112" s="8">
        <v>0.0</v>
      </c>
      <c r="M112" s="9" t="s">
        <v>460</v>
      </c>
      <c r="N112" s="9" t="s">
        <v>461</v>
      </c>
    </row>
    <row r="113">
      <c r="A113" s="10">
        <v>111.0</v>
      </c>
      <c r="B113" s="6" t="s">
        <v>252</v>
      </c>
      <c r="C113" s="7"/>
      <c r="D113" s="7"/>
      <c r="E113" s="8">
        <v>111.0</v>
      </c>
      <c r="F113" s="8">
        <v>0.0</v>
      </c>
      <c r="G113" s="8">
        <v>0.0</v>
      </c>
      <c r="H113" s="8">
        <v>0.0</v>
      </c>
      <c r="I113" s="8">
        <v>0.0</v>
      </c>
      <c r="J113" s="8">
        <v>0.0</v>
      </c>
      <c r="K113" s="8">
        <v>0.0</v>
      </c>
      <c r="M113" s="9" t="s">
        <v>462</v>
      </c>
      <c r="N113" s="9" t="s">
        <v>463</v>
      </c>
    </row>
    <row r="114">
      <c r="A114" s="10">
        <v>112.0</v>
      </c>
      <c r="B114" s="6" t="s">
        <v>255</v>
      </c>
      <c r="C114" s="7"/>
      <c r="D114" s="7"/>
      <c r="E114" s="8">
        <v>112.0</v>
      </c>
      <c r="F114" s="8">
        <v>0.0</v>
      </c>
      <c r="G114" s="8">
        <v>0.0</v>
      </c>
      <c r="H114" s="8">
        <v>0.0</v>
      </c>
      <c r="I114" s="8">
        <v>0.0</v>
      </c>
      <c r="J114" s="8">
        <v>0.0</v>
      </c>
      <c r="K114" s="8">
        <v>0.0</v>
      </c>
      <c r="M114" s="9" t="s">
        <v>464</v>
      </c>
      <c r="N114" s="9" t="s">
        <v>465</v>
      </c>
    </row>
    <row r="115">
      <c r="A115" s="10">
        <v>113.0</v>
      </c>
      <c r="B115" s="6" t="s">
        <v>256</v>
      </c>
      <c r="C115" s="7"/>
      <c r="D115" s="7"/>
      <c r="E115" s="8">
        <v>113.0</v>
      </c>
      <c r="F115" s="9" t="str">
        <f t="array" ref="F115:K126">"input[7][" &amp; (COLUMN(A1:F1)-COLUMN(A1) + 2*(ROW(O4:O15)-ROW(O4))) &amp; "]"</f>
        <v>input[7][0]</v>
      </c>
      <c r="G115" s="9" t="s">
        <v>466</v>
      </c>
      <c r="H115" s="9" t="s">
        <v>467</v>
      </c>
      <c r="I115" s="9" t="s">
        <v>468</v>
      </c>
      <c r="J115" s="9" t="s">
        <v>469</v>
      </c>
      <c r="K115" s="9" t="s">
        <v>470</v>
      </c>
      <c r="M115" s="9" t="s">
        <v>471</v>
      </c>
      <c r="N115" s="9" t="s">
        <v>472</v>
      </c>
    </row>
    <row r="116">
      <c r="A116" s="10">
        <v>114.0</v>
      </c>
      <c r="B116" s="6" t="s">
        <v>259</v>
      </c>
      <c r="C116" s="7"/>
      <c r="D116" s="7"/>
      <c r="E116" s="8">
        <v>114.0</v>
      </c>
      <c r="F116" s="9" t="s">
        <v>467</v>
      </c>
      <c r="G116" s="9" t="s">
        <v>468</v>
      </c>
      <c r="H116" s="9" t="s">
        <v>469</v>
      </c>
      <c r="I116" s="9" t="s">
        <v>470</v>
      </c>
      <c r="J116" s="9" t="s">
        <v>473</v>
      </c>
      <c r="K116" s="9" t="s">
        <v>474</v>
      </c>
      <c r="M116" s="9" t="s">
        <v>475</v>
      </c>
      <c r="N116" s="9" t="s">
        <v>476</v>
      </c>
    </row>
    <row r="117">
      <c r="A117" s="10">
        <v>115.0</v>
      </c>
      <c r="B117" s="6" t="s">
        <v>260</v>
      </c>
      <c r="C117" s="7"/>
      <c r="D117" s="7"/>
      <c r="E117" s="8">
        <v>115.0</v>
      </c>
      <c r="F117" s="9" t="s">
        <v>469</v>
      </c>
      <c r="G117" s="9" t="s">
        <v>470</v>
      </c>
      <c r="H117" s="9" t="s">
        <v>473</v>
      </c>
      <c r="I117" s="9" t="s">
        <v>474</v>
      </c>
      <c r="J117" s="9" t="s">
        <v>477</v>
      </c>
      <c r="K117" s="9" t="s">
        <v>478</v>
      </c>
      <c r="M117" s="9" t="s">
        <v>479</v>
      </c>
      <c r="N117" s="9" t="s">
        <v>480</v>
      </c>
    </row>
    <row r="118">
      <c r="A118" s="10">
        <v>116.0</v>
      </c>
      <c r="B118" s="6" t="s">
        <v>263</v>
      </c>
      <c r="C118" s="7"/>
      <c r="D118" s="7"/>
      <c r="E118" s="8">
        <v>116.0</v>
      </c>
      <c r="F118" s="9" t="s">
        <v>473</v>
      </c>
      <c r="G118" s="9" t="s">
        <v>474</v>
      </c>
      <c r="H118" s="9" t="s">
        <v>477</v>
      </c>
      <c r="I118" s="9" t="s">
        <v>478</v>
      </c>
      <c r="J118" s="9" t="s">
        <v>481</v>
      </c>
      <c r="K118" s="9" t="s">
        <v>482</v>
      </c>
      <c r="M118" s="9" t="s">
        <v>483</v>
      </c>
      <c r="N118" s="9" t="s">
        <v>484</v>
      </c>
    </row>
    <row r="119">
      <c r="A119" s="10">
        <v>117.0</v>
      </c>
      <c r="B119" s="6" t="s">
        <v>264</v>
      </c>
      <c r="C119" s="7"/>
      <c r="D119" s="7"/>
      <c r="E119" s="8">
        <v>117.0</v>
      </c>
      <c r="F119" s="9" t="s">
        <v>477</v>
      </c>
      <c r="G119" s="9" t="s">
        <v>478</v>
      </c>
      <c r="H119" s="9" t="s">
        <v>481</v>
      </c>
      <c r="I119" s="9" t="s">
        <v>482</v>
      </c>
      <c r="J119" s="9" t="s">
        <v>485</v>
      </c>
      <c r="K119" s="9" t="s">
        <v>486</v>
      </c>
      <c r="M119" s="9" t="s">
        <v>487</v>
      </c>
      <c r="N119" s="9" t="s">
        <v>488</v>
      </c>
    </row>
    <row r="120">
      <c r="A120" s="10">
        <v>118.0</v>
      </c>
      <c r="B120" s="6" t="s">
        <v>267</v>
      </c>
      <c r="C120" s="7"/>
      <c r="D120" s="7"/>
      <c r="E120" s="8">
        <v>118.0</v>
      </c>
      <c r="F120" s="9" t="s">
        <v>481</v>
      </c>
      <c r="G120" s="9" t="s">
        <v>482</v>
      </c>
      <c r="H120" s="9" t="s">
        <v>485</v>
      </c>
      <c r="I120" s="9" t="s">
        <v>486</v>
      </c>
      <c r="J120" s="9" t="s">
        <v>489</v>
      </c>
      <c r="K120" s="9" t="s">
        <v>490</v>
      </c>
      <c r="M120" s="9" t="s">
        <v>491</v>
      </c>
      <c r="N120" s="9" t="s">
        <v>492</v>
      </c>
    </row>
    <row r="121">
      <c r="A121" s="10">
        <v>119.0</v>
      </c>
      <c r="B121" s="6" t="s">
        <v>268</v>
      </c>
      <c r="C121" s="7"/>
      <c r="D121" s="7"/>
      <c r="E121" s="8">
        <v>119.0</v>
      </c>
      <c r="F121" s="9" t="s">
        <v>485</v>
      </c>
      <c r="G121" s="9" t="s">
        <v>486</v>
      </c>
      <c r="H121" s="9" t="s">
        <v>489</v>
      </c>
      <c r="I121" s="9" t="s">
        <v>490</v>
      </c>
      <c r="J121" s="9" t="s">
        <v>493</v>
      </c>
      <c r="K121" s="9" t="s">
        <v>494</v>
      </c>
      <c r="M121" s="9" t="s">
        <v>495</v>
      </c>
      <c r="N121" s="9" t="s">
        <v>496</v>
      </c>
    </row>
    <row r="122">
      <c r="A122" s="10">
        <v>120.0</v>
      </c>
      <c r="B122" s="6" t="s">
        <v>271</v>
      </c>
      <c r="C122" s="7"/>
      <c r="D122" s="7"/>
      <c r="E122" s="8">
        <v>120.0</v>
      </c>
      <c r="F122" s="9" t="s">
        <v>489</v>
      </c>
      <c r="G122" s="9" t="s">
        <v>490</v>
      </c>
      <c r="H122" s="9" t="s">
        <v>493</v>
      </c>
      <c r="I122" s="9" t="s">
        <v>494</v>
      </c>
      <c r="J122" s="9" t="s">
        <v>497</v>
      </c>
      <c r="K122" s="9" t="s">
        <v>498</v>
      </c>
      <c r="M122" s="9" t="s">
        <v>499</v>
      </c>
      <c r="N122" s="9" t="s">
        <v>500</v>
      </c>
    </row>
    <row r="123">
      <c r="A123" s="10">
        <v>121.0</v>
      </c>
      <c r="B123" s="6" t="s">
        <v>272</v>
      </c>
      <c r="C123" s="7"/>
      <c r="D123" s="7"/>
      <c r="E123" s="8">
        <v>121.0</v>
      </c>
      <c r="F123" s="9" t="s">
        <v>493</v>
      </c>
      <c r="G123" s="9" t="s">
        <v>494</v>
      </c>
      <c r="H123" s="9" t="s">
        <v>497</v>
      </c>
      <c r="I123" s="9" t="s">
        <v>498</v>
      </c>
      <c r="J123" s="9" t="s">
        <v>501</v>
      </c>
      <c r="K123" s="9" t="s">
        <v>502</v>
      </c>
      <c r="M123" s="9" t="s">
        <v>503</v>
      </c>
      <c r="N123" s="9" t="s">
        <v>504</v>
      </c>
    </row>
    <row r="124">
      <c r="A124" s="10">
        <v>122.0</v>
      </c>
      <c r="B124" s="6" t="s">
        <v>275</v>
      </c>
      <c r="C124" s="7"/>
      <c r="D124" s="7"/>
      <c r="E124" s="8">
        <v>122.0</v>
      </c>
      <c r="F124" s="9" t="s">
        <v>497</v>
      </c>
      <c r="G124" s="9" t="s">
        <v>498</v>
      </c>
      <c r="H124" s="9" t="s">
        <v>501</v>
      </c>
      <c r="I124" s="9" t="s">
        <v>502</v>
      </c>
      <c r="J124" s="9" t="s">
        <v>505</v>
      </c>
      <c r="K124" s="9" t="s">
        <v>506</v>
      </c>
      <c r="M124" s="9" t="s">
        <v>507</v>
      </c>
      <c r="N124" s="9" t="s">
        <v>508</v>
      </c>
    </row>
    <row r="125">
      <c r="A125" s="10">
        <v>123.0</v>
      </c>
      <c r="B125" s="6" t="s">
        <v>276</v>
      </c>
      <c r="C125" s="7"/>
      <c r="D125" s="7"/>
      <c r="E125" s="8">
        <v>123.0</v>
      </c>
      <c r="F125" s="9" t="s">
        <v>501</v>
      </c>
      <c r="G125" s="9" t="s">
        <v>502</v>
      </c>
      <c r="H125" s="9" t="s">
        <v>505</v>
      </c>
      <c r="I125" s="9" t="s">
        <v>506</v>
      </c>
      <c r="J125" s="9" t="s">
        <v>509</v>
      </c>
      <c r="K125" s="9" t="s">
        <v>510</v>
      </c>
      <c r="M125" s="9" t="s">
        <v>511</v>
      </c>
      <c r="N125" s="9" t="s">
        <v>512</v>
      </c>
    </row>
    <row r="126">
      <c r="A126" s="10">
        <v>124.0</v>
      </c>
      <c r="C126" s="7"/>
      <c r="D126" s="7"/>
      <c r="E126" s="8">
        <v>124.0</v>
      </c>
      <c r="F126" s="9" t="s">
        <v>505</v>
      </c>
      <c r="G126" s="9" t="s">
        <v>506</v>
      </c>
      <c r="H126" s="9" t="s">
        <v>509</v>
      </c>
      <c r="I126" s="9" t="s">
        <v>510</v>
      </c>
      <c r="J126" s="9" t="s">
        <v>513</v>
      </c>
      <c r="K126" s="9" t="s">
        <v>514</v>
      </c>
      <c r="M126" s="9" t="s">
        <v>515</v>
      </c>
      <c r="N126" s="9" t="s">
        <v>516</v>
      </c>
    </row>
    <row r="127">
      <c r="A127" s="10">
        <v>125.0</v>
      </c>
      <c r="C127" s="7"/>
      <c r="D127" s="7"/>
      <c r="E127" s="8">
        <v>125.0</v>
      </c>
      <c r="F127" s="8">
        <v>0.0</v>
      </c>
      <c r="G127" s="8">
        <v>0.0</v>
      </c>
      <c r="H127" s="8">
        <v>0.0</v>
      </c>
      <c r="I127" s="8">
        <v>0.0</v>
      </c>
      <c r="J127" s="8">
        <v>0.0</v>
      </c>
      <c r="K127" s="8">
        <v>0.0</v>
      </c>
      <c r="M127" s="9" t="s">
        <v>517</v>
      </c>
      <c r="N127" s="9" t="s">
        <v>518</v>
      </c>
    </row>
    <row r="128">
      <c r="A128" s="10">
        <v>126.0</v>
      </c>
      <c r="C128" s="7"/>
      <c r="D128" s="7"/>
      <c r="E128" s="8">
        <v>126.0</v>
      </c>
      <c r="F128" s="8">
        <v>0.0</v>
      </c>
      <c r="G128" s="8">
        <v>0.0</v>
      </c>
      <c r="H128" s="8">
        <v>0.0</v>
      </c>
      <c r="I128" s="8">
        <v>0.0</v>
      </c>
      <c r="J128" s="8">
        <v>0.0</v>
      </c>
      <c r="K128" s="8">
        <v>0.0</v>
      </c>
      <c r="M128" s="9" t="s">
        <v>519</v>
      </c>
      <c r="N128" s="9" t="s">
        <v>520</v>
      </c>
    </row>
    <row r="129">
      <c r="A129" s="10">
        <v>127.0</v>
      </c>
      <c r="C129" s="7"/>
      <c r="D129" s="7"/>
      <c r="E129" s="8">
        <v>127.0</v>
      </c>
      <c r="F129" s="8">
        <v>0.0</v>
      </c>
      <c r="G129" s="8">
        <v>0.0</v>
      </c>
      <c r="H129" s="8">
        <v>0.0</v>
      </c>
      <c r="I129" s="8">
        <v>0.0</v>
      </c>
      <c r="J129" s="8">
        <v>0.0</v>
      </c>
      <c r="K129" s="8">
        <v>0.0</v>
      </c>
      <c r="M129" s="9" t="s">
        <v>521</v>
      </c>
      <c r="N129" s="9" t="s">
        <v>522</v>
      </c>
    </row>
    <row r="130">
      <c r="A130" s="10">
        <v>128.0</v>
      </c>
      <c r="B130" s="6" t="s">
        <v>523</v>
      </c>
      <c r="C130" s="7"/>
      <c r="D130" s="7"/>
      <c r="E130" s="8">
        <v>128.0</v>
      </c>
      <c r="F130" s="8">
        <v>0.0</v>
      </c>
      <c r="G130" s="8">
        <v>0.0</v>
      </c>
      <c r="H130" s="8">
        <v>0.0</v>
      </c>
      <c r="I130" s="8">
        <v>0.0</v>
      </c>
      <c r="J130" s="8">
        <v>0.0</v>
      </c>
      <c r="K130" s="8">
        <v>0.0</v>
      </c>
      <c r="M130" s="9" t="s">
        <v>524</v>
      </c>
      <c r="N130" s="9" t="s">
        <v>525</v>
      </c>
    </row>
    <row r="131">
      <c r="A131" s="10">
        <v>129.0</v>
      </c>
      <c r="B131" s="6" t="s">
        <v>288</v>
      </c>
      <c r="C131" s="7"/>
      <c r="D131" s="7"/>
      <c r="E131" s="8">
        <v>129.0</v>
      </c>
      <c r="F131" s="9" t="str">
        <f t="array" ref="F131:K142">"input[8][" &amp; (COLUMN(A1:F1)-COLUMN(A1) + 2*(ROW(O4:O15)-ROW(O4))) &amp; "]"</f>
        <v>input[8][0]</v>
      </c>
      <c r="G131" s="9" t="s">
        <v>526</v>
      </c>
      <c r="H131" s="9" t="s">
        <v>527</v>
      </c>
      <c r="I131" s="9" t="s">
        <v>528</v>
      </c>
      <c r="J131" s="9" t="s">
        <v>529</v>
      </c>
      <c r="K131" s="9" t="s">
        <v>530</v>
      </c>
      <c r="M131" s="9" t="s">
        <v>531</v>
      </c>
      <c r="N131" s="9" t="s">
        <v>532</v>
      </c>
    </row>
    <row r="132">
      <c r="A132" s="10">
        <v>130.0</v>
      </c>
      <c r="B132" s="6" t="s">
        <v>289</v>
      </c>
      <c r="C132" s="7"/>
      <c r="D132" s="7"/>
      <c r="E132" s="8">
        <v>130.0</v>
      </c>
      <c r="F132" s="8" t="s">
        <v>527</v>
      </c>
      <c r="G132" s="9" t="s">
        <v>528</v>
      </c>
      <c r="H132" s="9" t="s">
        <v>529</v>
      </c>
      <c r="I132" s="9" t="s">
        <v>530</v>
      </c>
      <c r="J132" s="9" t="s">
        <v>533</v>
      </c>
      <c r="K132" s="9" t="s">
        <v>534</v>
      </c>
      <c r="M132" s="9" t="s">
        <v>535</v>
      </c>
      <c r="N132" s="9" t="s">
        <v>536</v>
      </c>
    </row>
    <row r="133">
      <c r="A133" s="10">
        <v>131.0</v>
      </c>
      <c r="B133" s="6" t="s">
        <v>290</v>
      </c>
      <c r="C133" s="7"/>
      <c r="D133" s="7"/>
      <c r="E133" s="8">
        <v>131.0</v>
      </c>
      <c r="F133" s="9" t="s">
        <v>529</v>
      </c>
      <c r="G133" s="9" t="s">
        <v>530</v>
      </c>
      <c r="H133" s="9" t="s">
        <v>533</v>
      </c>
      <c r="I133" s="9" t="s">
        <v>534</v>
      </c>
      <c r="J133" s="9" t="s">
        <v>537</v>
      </c>
      <c r="K133" s="9" t="s">
        <v>538</v>
      </c>
      <c r="M133" s="9" t="s">
        <v>539</v>
      </c>
      <c r="N133" s="9" t="s">
        <v>540</v>
      </c>
    </row>
    <row r="134">
      <c r="A134" s="10">
        <v>132.0</v>
      </c>
      <c r="B134" s="6" t="s">
        <v>291</v>
      </c>
      <c r="C134" s="7"/>
      <c r="D134" s="7"/>
      <c r="E134" s="8">
        <v>132.0</v>
      </c>
      <c r="F134" s="9" t="s">
        <v>533</v>
      </c>
      <c r="G134" s="9" t="s">
        <v>534</v>
      </c>
      <c r="H134" s="9" t="s">
        <v>537</v>
      </c>
      <c r="I134" s="9" t="s">
        <v>538</v>
      </c>
      <c r="J134" s="9" t="s">
        <v>541</v>
      </c>
      <c r="K134" s="9" t="s">
        <v>542</v>
      </c>
      <c r="M134" s="9" t="s">
        <v>543</v>
      </c>
      <c r="N134" s="9" t="s">
        <v>544</v>
      </c>
    </row>
    <row r="135">
      <c r="A135" s="10">
        <v>133.0</v>
      </c>
      <c r="B135" s="6" t="s">
        <v>292</v>
      </c>
      <c r="C135" s="7"/>
      <c r="D135" s="7"/>
      <c r="E135" s="8">
        <v>133.0</v>
      </c>
      <c r="F135" s="9" t="s">
        <v>537</v>
      </c>
      <c r="G135" s="9" t="s">
        <v>538</v>
      </c>
      <c r="H135" s="9" t="s">
        <v>541</v>
      </c>
      <c r="I135" s="9" t="s">
        <v>542</v>
      </c>
      <c r="J135" s="9" t="s">
        <v>545</v>
      </c>
      <c r="K135" s="9" t="s">
        <v>546</v>
      </c>
      <c r="M135" s="9" t="s">
        <v>547</v>
      </c>
      <c r="N135" s="9" t="s">
        <v>548</v>
      </c>
    </row>
    <row r="136">
      <c r="A136" s="10">
        <v>134.0</v>
      </c>
      <c r="B136" s="6" t="s">
        <v>295</v>
      </c>
      <c r="C136" s="7"/>
      <c r="D136" s="7"/>
      <c r="E136" s="8">
        <v>134.0</v>
      </c>
      <c r="F136" s="9" t="s">
        <v>541</v>
      </c>
      <c r="G136" s="9" t="s">
        <v>542</v>
      </c>
      <c r="H136" s="9" t="s">
        <v>545</v>
      </c>
      <c r="I136" s="9" t="s">
        <v>546</v>
      </c>
      <c r="J136" s="9" t="s">
        <v>549</v>
      </c>
      <c r="K136" s="9" t="s">
        <v>550</v>
      </c>
      <c r="M136" s="9" t="s">
        <v>551</v>
      </c>
      <c r="N136" s="9" t="s">
        <v>552</v>
      </c>
    </row>
    <row r="137">
      <c r="A137" s="10">
        <v>135.0</v>
      </c>
      <c r="B137" s="6" t="s">
        <v>296</v>
      </c>
      <c r="C137" s="7"/>
      <c r="D137" s="7"/>
      <c r="E137" s="8">
        <v>135.0</v>
      </c>
      <c r="F137" s="9" t="s">
        <v>545</v>
      </c>
      <c r="G137" s="9" t="s">
        <v>546</v>
      </c>
      <c r="H137" s="9" t="s">
        <v>549</v>
      </c>
      <c r="I137" s="9" t="s">
        <v>550</v>
      </c>
      <c r="J137" s="9" t="s">
        <v>553</v>
      </c>
      <c r="K137" s="9" t="s">
        <v>554</v>
      </c>
      <c r="M137" s="9" t="s">
        <v>555</v>
      </c>
      <c r="N137" s="9" t="s">
        <v>556</v>
      </c>
    </row>
    <row r="138">
      <c r="A138" s="10">
        <v>136.0</v>
      </c>
      <c r="B138" s="6" t="s">
        <v>299</v>
      </c>
      <c r="C138" s="7"/>
      <c r="D138" s="7"/>
      <c r="E138" s="8">
        <v>136.0</v>
      </c>
      <c r="F138" s="9" t="s">
        <v>549</v>
      </c>
      <c r="G138" s="9" t="s">
        <v>550</v>
      </c>
      <c r="H138" s="9" t="s">
        <v>553</v>
      </c>
      <c r="I138" s="9" t="s">
        <v>554</v>
      </c>
      <c r="J138" s="9" t="s">
        <v>557</v>
      </c>
      <c r="K138" s="9" t="s">
        <v>558</v>
      </c>
      <c r="M138" s="9" t="s">
        <v>559</v>
      </c>
      <c r="N138" s="9" t="s">
        <v>560</v>
      </c>
    </row>
    <row r="139">
      <c r="A139" s="10">
        <v>137.0</v>
      </c>
      <c r="B139" s="6" t="s">
        <v>300</v>
      </c>
      <c r="C139" s="7"/>
      <c r="D139" s="7"/>
      <c r="E139" s="8">
        <v>137.0</v>
      </c>
      <c r="F139" s="9" t="s">
        <v>553</v>
      </c>
      <c r="G139" s="9" t="s">
        <v>554</v>
      </c>
      <c r="H139" s="9" t="s">
        <v>557</v>
      </c>
      <c r="I139" s="9" t="s">
        <v>558</v>
      </c>
      <c r="J139" s="9" t="s">
        <v>561</v>
      </c>
      <c r="K139" s="9" t="s">
        <v>562</v>
      </c>
      <c r="M139" s="9" t="s">
        <v>563</v>
      </c>
      <c r="N139" s="9" t="s">
        <v>564</v>
      </c>
    </row>
    <row r="140">
      <c r="A140" s="10">
        <v>138.0</v>
      </c>
      <c r="B140" s="6" t="s">
        <v>303</v>
      </c>
      <c r="C140" s="7"/>
      <c r="D140" s="7"/>
      <c r="E140" s="8">
        <v>138.0</v>
      </c>
      <c r="F140" s="9" t="s">
        <v>557</v>
      </c>
      <c r="G140" s="9" t="s">
        <v>558</v>
      </c>
      <c r="H140" s="9" t="s">
        <v>561</v>
      </c>
      <c r="I140" s="9" t="s">
        <v>562</v>
      </c>
      <c r="J140" s="9" t="s">
        <v>565</v>
      </c>
      <c r="K140" s="9" t="s">
        <v>566</v>
      </c>
      <c r="M140" s="9" t="s">
        <v>567</v>
      </c>
      <c r="N140" s="9" t="s">
        <v>568</v>
      </c>
    </row>
    <row r="141">
      <c r="A141" s="10">
        <v>139.0</v>
      </c>
      <c r="B141" s="6" t="s">
        <v>304</v>
      </c>
      <c r="C141" s="7"/>
      <c r="D141" s="7"/>
      <c r="E141" s="8">
        <v>139.0</v>
      </c>
      <c r="F141" s="9" t="s">
        <v>561</v>
      </c>
      <c r="G141" s="9" t="s">
        <v>562</v>
      </c>
      <c r="H141" s="9" t="s">
        <v>565</v>
      </c>
      <c r="I141" s="9" t="s">
        <v>566</v>
      </c>
      <c r="J141" s="9" t="s">
        <v>569</v>
      </c>
      <c r="K141" s="9" t="s">
        <v>570</v>
      </c>
      <c r="M141" s="9" t="s">
        <v>571</v>
      </c>
      <c r="N141" s="9" t="s">
        <v>572</v>
      </c>
    </row>
    <row r="142">
      <c r="A142" s="10">
        <v>140.0</v>
      </c>
      <c r="B142" s="6" t="s">
        <v>307</v>
      </c>
      <c r="C142" s="7"/>
      <c r="D142" s="7"/>
      <c r="E142" s="8">
        <v>140.0</v>
      </c>
      <c r="F142" s="9" t="s">
        <v>565</v>
      </c>
      <c r="G142" s="9" t="s">
        <v>566</v>
      </c>
      <c r="H142" s="9" t="s">
        <v>569</v>
      </c>
      <c r="I142" s="9" t="s">
        <v>570</v>
      </c>
      <c r="J142" s="9" t="s">
        <v>573</v>
      </c>
      <c r="K142" s="9" t="s">
        <v>574</v>
      </c>
      <c r="M142" s="9" t="s">
        <v>575</v>
      </c>
      <c r="N142" s="9" t="s">
        <v>576</v>
      </c>
    </row>
    <row r="143">
      <c r="A143" s="10">
        <v>141.0</v>
      </c>
      <c r="B143" s="6" t="s">
        <v>308</v>
      </c>
      <c r="C143" s="7"/>
      <c r="D143" s="7"/>
      <c r="E143" s="8">
        <v>141.0</v>
      </c>
      <c r="F143" s="8">
        <v>0.0</v>
      </c>
      <c r="G143" s="8">
        <v>0.0</v>
      </c>
      <c r="H143" s="8">
        <v>0.0</v>
      </c>
      <c r="I143" s="8">
        <v>0.0</v>
      </c>
      <c r="J143" s="8">
        <v>0.0</v>
      </c>
      <c r="K143" s="8">
        <v>0.0</v>
      </c>
      <c r="M143" s="9" t="s">
        <v>577</v>
      </c>
      <c r="N143" s="9" t="s">
        <v>578</v>
      </c>
    </row>
    <row r="144">
      <c r="A144" s="10">
        <v>142.0</v>
      </c>
      <c r="B144" s="6" t="s">
        <v>311</v>
      </c>
      <c r="C144" s="7"/>
      <c r="D144" s="7"/>
      <c r="E144" s="8">
        <v>142.0</v>
      </c>
      <c r="F144" s="8">
        <v>0.0</v>
      </c>
      <c r="G144" s="8">
        <v>0.0</v>
      </c>
      <c r="H144" s="8">
        <v>0.0</v>
      </c>
      <c r="I144" s="8">
        <v>0.0</v>
      </c>
      <c r="J144" s="8">
        <v>0.0</v>
      </c>
      <c r="K144" s="8">
        <v>0.0</v>
      </c>
      <c r="M144" s="9" t="s">
        <v>579</v>
      </c>
      <c r="N144" s="9" t="s">
        <v>580</v>
      </c>
    </row>
    <row r="145">
      <c r="A145" s="10">
        <v>143.0</v>
      </c>
      <c r="B145" s="6" t="s">
        <v>312</v>
      </c>
      <c r="C145" s="7"/>
      <c r="D145" s="7"/>
      <c r="E145" s="8">
        <v>143.0</v>
      </c>
      <c r="F145" s="8">
        <v>0.0</v>
      </c>
      <c r="G145" s="8">
        <v>0.0</v>
      </c>
      <c r="H145" s="8">
        <v>0.0</v>
      </c>
      <c r="I145" s="8">
        <v>0.0</v>
      </c>
      <c r="J145" s="8">
        <v>0.0</v>
      </c>
      <c r="K145" s="8">
        <v>0.0</v>
      </c>
      <c r="M145" s="9" t="s">
        <v>581</v>
      </c>
      <c r="N145" s="9" t="s">
        <v>582</v>
      </c>
    </row>
    <row r="146">
      <c r="A146" s="10">
        <v>144.0</v>
      </c>
      <c r="B146" s="6" t="s">
        <v>315</v>
      </c>
      <c r="C146" s="7"/>
      <c r="D146" s="7"/>
      <c r="E146" s="8">
        <v>144.0</v>
      </c>
      <c r="F146" s="8">
        <v>0.0</v>
      </c>
      <c r="G146" s="8">
        <v>0.0</v>
      </c>
      <c r="H146" s="8">
        <v>0.0</v>
      </c>
      <c r="I146" s="8">
        <v>0.0</v>
      </c>
      <c r="J146" s="8">
        <v>0.0</v>
      </c>
      <c r="K146" s="8">
        <v>0.0</v>
      </c>
      <c r="M146" s="9" t="s">
        <v>583</v>
      </c>
      <c r="N146" s="9" t="s">
        <v>584</v>
      </c>
    </row>
    <row r="147">
      <c r="A147" s="10">
        <v>145.0</v>
      </c>
      <c r="B147" s="6" t="s">
        <v>316</v>
      </c>
      <c r="C147" s="7"/>
      <c r="D147" s="7"/>
      <c r="E147" s="8">
        <v>145.0</v>
      </c>
      <c r="F147" s="9" t="str">
        <f t="array" ref="F147:K158">"input[9][" &amp; (COLUMN(A1:F1)-COLUMN(A1) + 2*(ROW(O4:O15)-ROW(O4))) &amp; "]"</f>
        <v>input[9][0]</v>
      </c>
      <c r="G147" s="9" t="s">
        <v>585</v>
      </c>
      <c r="H147" s="9" t="s">
        <v>586</v>
      </c>
      <c r="I147" s="9" t="s">
        <v>587</v>
      </c>
      <c r="J147" s="9" t="s">
        <v>588</v>
      </c>
      <c r="K147" s="9" t="s">
        <v>589</v>
      </c>
      <c r="M147" s="9" t="s">
        <v>590</v>
      </c>
      <c r="N147" s="9" t="s">
        <v>591</v>
      </c>
    </row>
    <row r="148">
      <c r="A148" s="10">
        <v>146.0</v>
      </c>
      <c r="B148" s="6" t="s">
        <v>319</v>
      </c>
      <c r="C148" s="7"/>
      <c r="D148" s="7"/>
      <c r="E148" s="8">
        <v>146.0</v>
      </c>
      <c r="F148" s="9" t="s">
        <v>586</v>
      </c>
      <c r="G148" s="9" t="s">
        <v>587</v>
      </c>
      <c r="H148" s="9" t="s">
        <v>588</v>
      </c>
      <c r="I148" s="9" t="s">
        <v>589</v>
      </c>
      <c r="J148" s="9" t="s">
        <v>592</v>
      </c>
      <c r="K148" s="9" t="s">
        <v>593</v>
      </c>
    </row>
    <row r="149">
      <c r="A149" s="10">
        <v>147.0</v>
      </c>
      <c r="B149" s="6" t="s">
        <v>320</v>
      </c>
      <c r="C149" s="7"/>
      <c r="D149" s="7"/>
      <c r="E149" s="8">
        <v>147.0</v>
      </c>
      <c r="F149" s="9" t="s">
        <v>588</v>
      </c>
      <c r="G149" s="9" t="s">
        <v>589</v>
      </c>
      <c r="H149" s="9" t="s">
        <v>592</v>
      </c>
      <c r="I149" s="9" t="s">
        <v>593</v>
      </c>
      <c r="J149" s="9" t="s">
        <v>594</v>
      </c>
      <c r="K149" s="9" t="s">
        <v>595</v>
      </c>
    </row>
    <row r="150">
      <c r="A150" s="10">
        <v>148.0</v>
      </c>
      <c r="B150" s="6" t="s">
        <v>323</v>
      </c>
      <c r="C150" s="7"/>
      <c r="D150" s="7"/>
      <c r="E150" s="8">
        <v>148.0</v>
      </c>
      <c r="F150" s="9" t="s">
        <v>592</v>
      </c>
      <c r="G150" s="9" t="s">
        <v>593</v>
      </c>
      <c r="H150" s="9" t="s">
        <v>594</v>
      </c>
      <c r="I150" s="9" t="s">
        <v>595</v>
      </c>
      <c r="J150" s="9" t="s">
        <v>596</v>
      </c>
      <c r="K150" s="9" t="s">
        <v>597</v>
      </c>
    </row>
    <row r="151">
      <c r="A151" s="10">
        <v>149.0</v>
      </c>
      <c r="B151" s="6" t="s">
        <v>324</v>
      </c>
      <c r="C151" s="7"/>
      <c r="D151" s="7"/>
      <c r="E151" s="8">
        <v>149.0</v>
      </c>
      <c r="F151" s="9" t="s">
        <v>594</v>
      </c>
      <c r="G151" s="9" t="s">
        <v>595</v>
      </c>
      <c r="H151" s="9" t="s">
        <v>596</v>
      </c>
      <c r="I151" s="9" t="s">
        <v>597</v>
      </c>
      <c r="J151" s="9" t="s">
        <v>598</v>
      </c>
      <c r="K151" s="9" t="s">
        <v>599</v>
      </c>
    </row>
    <row r="152">
      <c r="A152" s="10">
        <v>150.0</v>
      </c>
      <c r="B152" s="6" t="s">
        <v>327</v>
      </c>
      <c r="C152" s="7"/>
      <c r="D152" s="7"/>
      <c r="E152" s="8">
        <v>150.0</v>
      </c>
      <c r="F152" s="9" t="s">
        <v>596</v>
      </c>
      <c r="G152" s="9" t="s">
        <v>597</v>
      </c>
      <c r="H152" s="9" t="s">
        <v>598</v>
      </c>
      <c r="I152" s="9" t="s">
        <v>599</v>
      </c>
      <c r="J152" s="9" t="s">
        <v>600</v>
      </c>
      <c r="K152" s="9" t="s">
        <v>601</v>
      </c>
    </row>
    <row r="153">
      <c r="A153" s="10">
        <v>151.0</v>
      </c>
      <c r="B153" s="6" t="s">
        <v>328</v>
      </c>
      <c r="C153" s="7"/>
      <c r="D153" s="7"/>
      <c r="E153" s="8">
        <v>151.0</v>
      </c>
      <c r="F153" s="9" t="s">
        <v>598</v>
      </c>
      <c r="G153" s="9" t="s">
        <v>599</v>
      </c>
      <c r="H153" s="9" t="s">
        <v>600</v>
      </c>
      <c r="I153" s="9" t="s">
        <v>601</v>
      </c>
      <c r="J153" s="9" t="s">
        <v>602</v>
      </c>
      <c r="K153" s="9" t="s">
        <v>603</v>
      </c>
    </row>
    <row r="154">
      <c r="A154" s="10">
        <v>152.0</v>
      </c>
      <c r="B154" s="6" t="s">
        <v>331</v>
      </c>
      <c r="C154" s="7"/>
      <c r="D154" s="7"/>
      <c r="E154" s="8">
        <v>152.0</v>
      </c>
      <c r="F154" s="9" t="s">
        <v>600</v>
      </c>
      <c r="G154" s="9" t="s">
        <v>601</v>
      </c>
      <c r="H154" s="9" t="s">
        <v>602</v>
      </c>
      <c r="I154" s="9" t="s">
        <v>603</v>
      </c>
      <c r="J154" s="9" t="s">
        <v>604</v>
      </c>
      <c r="K154" s="9" t="s">
        <v>605</v>
      </c>
    </row>
    <row r="155">
      <c r="A155" s="10">
        <v>153.0</v>
      </c>
      <c r="B155" s="6" t="s">
        <v>332</v>
      </c>
      <c r="C155" s="7"/>
      <c r="D155" s="7"/>
      <c r="E155" s="8">
        <v>153.0</v>
      </c>
      <c r="F155" s="9" t="s">
        <v>602</v>
      </c>
      <c r="G155" s="9" t="s">
        <v>603</v>
      </c>
      <c r="H155" s="9" t="s">
        <v>604</v>
      </c>
      <c r="I155" s="9" t="s">
        <v>605</v>
      </c>
      <c r="J155" s="9" t="s">
        <v>606</v>
      </c>
      <c r="K155" s="9" t="s">
        <v>607</v>
      </c>
    </row>
    <row r="156">
      <c r="A156" s="10">
        <v>154.0</v>
      </c>
      <c r="B156" s="6" t="s">
        <v>335</v>
      </c>
      <c r="C156" s="7"/>
      <c r="D156" s="7"/>
      <c r="E156" s="8">
        <v>154.0</v>
      </c>
      <c r="F156" s="9" t="s">
        <v>604</v>
      </c>
      <c r="G156" s="9" t="s">
        <v>605</v>
      </c>
      <c r="H156" s="9" t="s">
        <v>606</v>
      </c>
      <c r="I156" s="9" t="s">
        <v>607</v>
      </c>
      <c r="J156" s="9" t="s">
        <v>608</v>
      </c>
      <c r="K156" s="9" t="s">
        <v>609</v>
      </c>
    </row>
    <row r="157">
      <c r="A157" s="10">
        <v>155.0</v>
      </c>
      <c r="B157" s="6" t="s">
        <v>336</v>
      </c>
      <c r="C157" s="7"/>
      <c r="D157" s="7"/>
      <c r="E157" s="8">
        <v>155.0</v>
      </c>
      <c r="F157" s="9" t="s">
        <v>606</v>
      </c>
      <c r="G157" s="9" t="s">
        <v>607</v>
      </c>
      <c r="H157" s="9" t="s">
        <v>608</v>
      </c>
      <c r="I157" s="9" t="s">
        <v>609</v>
      </c>
      <c r="J157" s="9" t="s">
        <v>610</v>
      </c>
      <c r="K157" s="9" t="s">
        <v>611</v>
      </c>
    </row>
    <row r="158">
      <c r="A158" s="10">
        <v>156.0</v>
      </c>
      <c r="C158" s="7"/>
      <c r="D158" s="7"/>
      <c r="E158" s="8">
        <v>156.0</v>
      </c>
      <c r="F158" s="9" t="s">
        <v>608</v>
      </c>
      <c r="G158" s="9" t="s">
        <v>609</v>
      </c>
      <c r="H158" s="9" t="s">
        <v>610</v>
      </c>
      <c r="I158" s="9" t="s">
        <v>611</v>
      </c>
      <c r="J158" s="9" t="s">
        <v>612</v>
      </c>
      <c r="K158" s="9" t="s">
        <v>613</v>
      </c>
    </row>
    <row r="159">
      <c r="A159" s="10">
        <v>157.0</v>
      </c>
      <c r="C159" s="7"/>
      <c r="D159" s="7"/>
      <c r="E159" s="8">
        <v>157.0</v>
      </c>
      <c r="F159" s="8">
        <v>0.0</v>
      </c>
      <c r="G159" s="8">
        <v>0.0</v>
      </c>
      <c r="H159" s="8">
        <v>0.0</v>
      </c>
      <c r="I159" s="8">
        <v>0.0</v>
      </c>
      <c r="J159" s="8">
        <v>0.0</v>
      </c>
      <c r="K159" s="8">
        <v>0.0</v>
      </c>
    </row>
    <row r="160">
      <c r="A160" s="10">
        <v>158.0</v>
      </c>
      <c r="C160" s="7"/>
      <c r="D160" s="7"/>
      <c r="E160" s="8">
        <v>158.0</v>
      </c>
      <c r="F160" s="8">
        <v>0.0</v>
      </c>
      <c r="G160" s="8">
        <v>0.0</v>
      </c>
      <c r="H160" s="8">
        <v>0.0</v>
      </c>
      <c r="I160" s="8">
        <v>0.0</v>
      </c>
      <c r="J160" s="8">
        <v>0.0</v>
      </c>
      <c r="K160" s="8">
        <v>0.0</v>
      </c>
    </row>
    <row r="161">
      <c r="A161" s="10">
        <v>159.0</v>
      </c>
      <c r="C161" s="7"/>
      <c r="D161" s="7"/>
      <c r="E161" s="8">
        <v>159.0</v>
      </c>
      <c r="F161" s="8">
        <v>0.0</v>
      </c>
      <c r="G161" s="8">
        <v>0.0</v>
      </c>
      <c r="H161" s="8">
        <v>0.0</v>
      </c>
      <c r="I161" s="8">
        <v>0.0</v>
      </c>
      <c r="J161" s="8">
        <v>0.0</v>
      </c>
      <c r="K161" s="8">
        <v>0.0</v>
      </c>
    </row>
    <row r="162">
      <c r="A162" s="10">
        <v>160.0</v>
      </c>
      <c r="B162" s="6" t="s">
        <v>614</v>
      </c>
      <c r="C162" s="7"/>
      <c r="D162" s="7"/>
      <c r="E162" s="8">
        <v>160.0</v>
      </c>
      <c r="F162" s="8">
        <v>0.0</v>
      </c>
      <c r="G162" s="8">
        <v>0.0</v>
      </c>
      <c r="H162" s="8">
        <v>0.0</v>
      </c>
      <c r="I162" s="8">
        <v>0.0</v>
      </c>
      <c r="J162" s="8">
        <v>0.0</v>
      </c>
      <c r="K162" s="8">
        <v>0.0</v>
      </c>
    </row>
    <row r="163">
      <c r="A163" s="10">
        <v>161.0</v>
      </c>
      <c r="B163" s="6" t="s">
        <v>347</v>
      </c>
      <c r="C163" s="7"/>
      <c r="D163" s="7"/>
      <c r="E163" s="8">
        <v>161.0</v>
      </c>
      <c r="F163" s="9" t="str">
        <f t="array" ref="F163:K174">"input[10][" &amp; (COLUMN(A1:F1)-COLUMN(A1) + 2*(ROW(O4:O15)-ROW(O4))) &amp; "]"</f>
        <v>input[10][0]</v>
      </c>
      <c r="G163" s="9" t="s">
        <v>615</v>
      </c>
      <c r="H163" s="9" t="s">
        <v>616</v>
      </c>
      <c r="I163" s="9" t="s">
        <v>617</v>
      </c>
      <c r="J163" s="9" t="s">
        <v>618</v>
      </c>
      <c r="K163" s="9" t="s">
        <v>619</v>
      </c>
    </row>
    <row r="164">
      <c r="A164" s="10">
        <v>162.0</v>
      </c>
      <c r="B164" s="6" t="s">
        <v>348</v>
      </c>
      <c r="C164" s="7"/>
      <c r="D164" s="7"/>
      <c r="E164" s="8">
        <v>162.0</v>
      </c>
      <c r="F164" s="9" t="s">
        <v>616</v>
      </c>
      <c r="G164" s="9" t="s">
        <v>617</v>
      </c>
      <c r="H164" s="9" t="s">
        <v>618</v>
      </c>
      <c r="I164" s="9" t="s">
        <v>619</v>
      </c>
      <c r="J164" s="9" t="s">
        <v>620</v>
      </c>
      <c r="K164" s="9" t="s">
        <v>621</v>
      </c>
    </row>
    <row r="165">
      <c r="A165" s="10">
        <v>163.0</v>
      </c>
      <c r="B165" s="6" t="s">
        <v>349</v>
      </c>
      <c r="C165" s="7"/>
      <c r="D165" s="7"/>
      <c r="E165" s="8">
        <v>163.0</v>
      </c>
      <c r="F165" s="9" t="s">
        <v>618</v>
      </c>
      <c r="G165" s="9" t="s">
        <v>619</v>
      </c>
      <c r="H165" s="9" t="s">
        <v>620</v>
      </c>
      <c r="I165" s="9" t="s">
        <v>621</v>
      </c>
      <c r="J165" s="9" t="s">
        <v>622</v>
      </c>
      <c r="K165" s="9" t="s">
        <v>623</v>
      </c>
    </row>
    <row r="166">
      <c r="A166" s="10">
        <v>164.0</v>
      </c>
      <c r="B166" s="6" t="s">
        <v>350</v>
      </c>
      <c r="C166" s="7"/>
      <c r="D166" s="7"/>
      <c r="E166" s="8">
        <v>164.0</v>
      </c>
      <c r="F166" s="9" t="s">
        <v>620</v>
      </c>
      <c r="G166" s="9" t="s">
        <v>621</v>
      </c>
      <c r="H166" s="9" t="s">
        <v>622</v>
      </c>
      <c r="I166" s="9" t="s">
        <v>623</v>
      </c>
      <c r="J166" s="9" t="s">
        <v>624</v>
      </c>
      <c r="K166" s="9" t="s">
        <v>625</v>
      </c>
    </row>
    <row r="167">
      <c r="A167" s="10">
        <v>165.0</v>
      </c>
      <c r="B167" s="6" t="s">
        <v>351</v>
      </c>
      <c r="C167" s="7"/>
      <c r="D167" s="7"/>
      <c r="E167" s="8">
        <v>165.0</v>
      </c>
      <c r="F167" s="9" t="s">
        <v>622</v>
      </c>
      <c r="G167" s="9" t="s">
        <v>623</v>
      </c>
      <c r="H167" s="9" t="s">
        <v>624</v>
      </c>
      <c r="I167" s="9" t="s">
        <v>625</v>
      </c>
      <c r="J167" s="9" t="s">
        <v>626</v>
      </c>
      <c r="K167" s="9" t="s">
        <v>627</v>
      </c>
    </row>
    <row r="168">
      <c r="A168" s="10">
        <v>166.0</v>
      </c>
      <c r="B168" s="6" t="s">
        <v>354</v>
      </c>
      <c r="C168" s="7"/>
      <c r="D168" s="7"/>
      <c r="E168" s="8">
        <v>166.0</v>
      </c>
      <c r="F168" s="9" t="s">
        <v>624</v>
      </c>
      <c r="G168" s="9" t="s">
        <v>625</v>
      </c>
      <c r="H168" s="9" t="s">
        <v>626</v>
      </c>
      <c r="I168" s="9" t="s">
        <v>627</v>
      </c>
      <c r="J168" s="9" t="s">
        <v>628</v>
      </c>
      <c r="K168" s="9" t="s">
        <v>629</v>
      </c>
    </row>
    <row r="169">
      <c r="A169" s="10">
        <v>167.0</v>
      </c>
      <c r="B169" s="6" t="s">
        <v>355</v>
      </c>
      <c r="C169" s="7"/>
      <c r="D169" s="7"/>
      <c r="E169" s="8">
        <v>167.0</v>
      </c>
      <c r="F169" s="9" t="s">
        <v>626</v>
      </c>
      <c r="G169" s="9" t="s">
        <v>627</v>
      </c>
      <c r="H169" s="9" t="s">
        <v>628</v>
      </c>
      <c r="I169" s="9" t="s">
        <v>629</v>
      </c>
      <c r="J169" s="9" t="s">
        <v>630</v>
      </c>
      <c r="K169" s="9" t="s">
        <v>631</v>
      </c>
    </row>
    <row r="170">
      <c r="A170" s="10">
        <v>168.0</v>
      </c>
      <c r="B170" s="6" t="s">
        <v>358</v>
      </c>
      <c r="C170" s="7"/>
      <c r="D170" s="7"/>
      <c r="E170" s="8">
        <v>168.0</v>
      </c>
      <c r="F170" s="9" t="s">
        <v>628</v>
      </c>
      <c r="G170" s="9" t="s">
        <v>629</v>
      </c>
      <c r="H170" s="9" t="s">
        <v>630</v>
      </c>
      <c r="I170" s="9" t="s">
        <v>631</v>
      </c>
      <c r="J170" s="9" t="s">
        <v>632</v>
      </c>
      <c r="K170" s="9" t="s">
        <v>633</v>
      </c>
    </row>
    <row r="171">
      <c r="A171" s="10">
        <v>169.0</v>
      </c>
      <c r="B171" s="6" t="s">
        <v>359</v>
      </c>
      <c r="C171" s="7"/>
      <c r="D171" s="7"/>
      <c r="E171" s="8">
        <v>169.0</v>
      </c>
      <c r="F171" s="9" t="s">
        <v>630</v>
      </c>
      <c r="G171" s="9" t="s">
        <v>631</v>
      </c>
      <c r="H171" s="9" t="s">
        <v>632</v>
      </c>
      <c r="I171" s="9" t="s">
        <v>633</v>
      </c>
      <c r="J171" s="9" t="s">
        <v>634</v>
      </c>
      <c r="K171" s="9" t="s">
        <v>635</v>
      </c>
    </row>
    <row r="172">
      <c r="A172" s="10">
        <v>170.0</v>
      </c>
      <c r="B172" s="6" t="s">
        <v>362</v>
      </c>
      <c r="C172" s="7"/>
      <c r="D172" s="7"/>
      <c r="E172" s="8">
        <v>170.0</v>
      </c>
      <c r="F172" s="9" t="s">
        <v>632</v>
      </c>
      <c r="G172" s="9" t="s">
        <v>633</v>
      </c>
      <c r="H172" s="9" t="s">
        <v>634</v>
      </c>
      <c r="I172" s="9" t="s">
        <v>635</v>
      </c>
      <c r="J172" s="9" t="s">
        <v>636</v>
      </c>
      <c r="K172" s="9" t="s">
        <v>637</v>
      </c>
    </row>
    <row r="173">
      <c r="A173" s="10">
        <v>171.0</v>
      </c>
      <c r="B173" s="6" t="s">
        <v>363</v>
      </c>
      <c r="C173" s="7"/>
      <c r="D173" s="7"/>
      <c r="E173" s="8">
        <v>171.0</v>
      </c>
      <c r="F173" s="9" t="s">
        <v>634</v>
      </c>
      <c r="G173" s="9" t="s">
        <v>635</v>
      </c>
      <c r="H173" s="9" t="s">
        <v>636</v>
      </c>
      <c r="I173" s="9" t="s">
        <v>637</v>
      </c>
      <c r="J173" s="9" t="s">
        <v>638</v>
      </c>
      <c r="K173" s="9" t="s">
        <v>639</v>
      </c>
    </row>
    <row r="174">
      <c r="A174" s="10">
        <v>172.0</v>
      </c>
      <c r="B174" s="6" t="s">
        <v>366</v>
      </c>
      <c r="C174" s="7"/>
      <c r="D174" s="7"/>
      <c r="E174" s="8">
        <v>172.0</v>
      </c>
      <c r="F174" s="9" t="s">
        <v>636</v>
      </c>
      <c r="G174" s="9" t="s">
        <v>637</v>
      </c>
      <c r="H174" s="9" t="s">
        <v>638</v>
      </c>
      <c r="I174" s="9" t="s">
        <v>639</v>
      </c>
      <c r="J174" s="9" t="s">
        <v>640</v>
      </c>
      <c r="K174" s="9" t="s">
        <v>641</v>
      </c>
    </row>
    <row r="175">
      <c r="A175" s="10">
        <v>173.0</v>
      </c>
      <c r="B175" s="6" t="s">
        <v>367</v>
      </c>
      <c r="C175" s="7"/>
      <c r="D175" s="7"/>
      <c r="E175" s="8">
        <v>173.0</v>
      </c>
      <c r="F175" s="8">
        <v>0.0</v>
      </c>
      <c r="G175" s="8">
        <v>0.0</v>
      </c>
      <c r="H175" s="8">
        <v>0.0</v>
      </c>
      <c r="I175" s="8">
        <v>0.0</v>
      </c>
      <c r="J175" s="8">
        <v>0.0</v>
      </c>
      <c r="K175" s="8">
        <v>0.0</v>
      </c>
    </row>
    <row r="176">
      <c r="A176" s="10">
        <v>174.0</v>
      </c>
      <c r="B176" s="6" t="s">
        <v>370</v>
      </c>
      <c r="C176" s="7"/>
      <c r="D176" s="7"/>
      <c r="E176" s="8">
        <v>174.0</v>
      </c>
      <c r="F176" s="8">
        <v>0.0</v>
      </c>
      <c r="G176" s="8">
        <v>0.0</v>
      </c>
      <c r="H176" s="8">
        <v>0.0</v>
      </c>
      <c r="I176" s="8">
        <v>0.0</v>
      </c>
      <c r="J176" s="8">
        <v>0.0</v>
      </c>
      <c r="K176" s="8">
        <v>0.0</v>
      </c>
    </row>
    <row r="177">
      <c r="A177" s="10">
        <v>175.0</v>
      </c>
      <c r="B177" s="6" t="s">
        <v>371</v>
      </c>
      <c r="C177" s="7"/>
      <c r="D177" s="7"/>
      <c r="E177" s="8">
        <v>175.0</v>
      </c>
      <c r="F177" s="8">
        <v>0.0</v>
      </c>
      <c r="G177" s="8">
        <v>0.0</v>
      </c>
      <c r="H177" s="8">
        <v>0.0</v>
      </c>
      <c r="I177" s="8">
        <v>0.0</v>
      </c>
      <c r="J177" s="8">
        <v>0.0</v>
      </c>
      <c r="K177" s="8">
        <v>0.0</v>
      </c>
    </row>
    <row r="178">
      <c r="A178" s="10">
        <v>176.0</v>
      </c>
      <c r="B178" s="6" t="s">
        <v>374</v>
      </c>
      <c r="C178" s="7"/>
      <c r="D178" s="7"/>
      <c r="E178" s="8">
        <v>176.0</v>
      </c>
      <c r="F178" s="8">
        <v>0.0</v>
      </c>
      <c r="G178" s="8">
        <v>0.0</v>
      </c>
      <c r="H178" s="8">
        <v>0.0</v>
      </c>
      <c r="I178" s="8">
        <v>0.0</v>
      </c>
      <c r="J178" s="8">
        <v>0.0</v>
      </c>
      <c r="K178" s="8">
        <v>0.0</v>
      </c>
    </row>
    <row r="179">
      <c r="A179" s="10">
        <v>177.0</v>
      </c>
      <c r="B179" s="6" t="s">
        <v>375</v>
      </c>
      <c r="C179" s="7"/>
      <c r="D179" s="7"/>
      <c r="E179" s="8">
        <v>177.0</v>
      </c>
      <c r="F179" s="9" t="str">
        <f t="array" ref="F179:K190">"input[11][" &amp; (COLUMN(A1:F1)-COLUMN(A1) + 2*(ROW(O4:O15)-ROW(O4))) &amp; "]"</f>
        <v>input[11][0]</v>
      </c>
      <c r="G179" s="9" t="s">
        <v>642</v>
      </c>
      <c r="H179" s="9" t="s">
        <v>643</v>
      </c>
      <c r="I179" s="9" t="s">
        <v>644</v>
      </c>
      <c r="J179" s="9" t="s">
        <v>645</v>
      </c>
      <c r="K179" s="9" t="s">
        <v>646</v>
      </c>
    </row>
    <row r="180">
      <c r="A180" s="10">
        <v>178.0</v>
      </c>
      <c r="B180" s="6" t="s">
        <v>378</v>
      </c>
      <c r="C180" s="7"/>
      <c r="D180" s="7"/>
      <c r="E180" s="8">
        <v>178.0</v>
      </c>
      <c r="F180" s="9" t="s">
        <v>643</v>
      </c>
      <c r="G180" s="9" t="s">
        <v>644</v>
      </c>
      <c r="H180" s="9" t="s">
        <v>645</v>
      </c>
      <c r="I180" s="9" t="s">
        <v>646</v>
      </c>
      <c r="J180" s="9" t="s">
        <v>647</v>
      </c>
      <c r="K180" s="9" t="s">
        <v>648</v>
      </c>
    </row>
    <row r="181">
      <c r="A181" s="10">
        <v>179.0</v>
      </c>
      <c r="B181" s="6" t="s">
        <v>379</v>
      </c>
      <c r="C181" s="7"/>
      <c r="D181" s="7"/>
      <c r="E181" s="8">
        <v>179.0</v>
      </c>
      <c r="F181" s="9" t="s">
        <v>645</v>
      </c>
      <c r="G181" s="9" t="s">
        <v>646</v>
      </c>
      <c r="H181" s="9" t="s">
        <v>647</v>
      </c>
      <c r="I181" s="9" t="s">
        <v>648</v>
      </c>
      <c r="J181" s="9" t="s">
        <v>649</v>
      </c>
      <c r="K181" s="9" t="s">
        <v>650</v>
      </c>
    </row>
    <row r="182">
      <c r="A182" s="10">
        <v>180.0</v>
      </c>
      <c r="B182" s="6" t="s">
        <v>382</v>
      </c>
      <c r="C182" s="7"/>
      <c r="D182" s="7"/>
      <c r="E182" s="8">
        <v>180.0</v>
      </c>
      <c r="F182" s="9" t="s">
        <v>647</v>
      </c>
      <c r="G182" s="9" t="s">
        <v>648</v>
      </c>
      <c r="H182" s="9" t="s">
        <v>649</v>
      </c>
      <c r="I182" s="9" t="s">
        <v>650</v>
      </c>
      <c r="J182" s="9" t="s">
        <v>651</v>
      </c>
      <c r="K182" s="9" t="s">
        <v>652</v>
      </c>
    </row>
    <row r="183">
      <c r="A183" s="10">
        <v>181.0</v>
      </c>
      <c r="B183" s="6" t="s">
        <v>383</v>
      </c>
      <c r="C183" s="7"/>
      <c r="D183" s="7"/>
      <c r="E183" s="8">
        <v>181.0</v>
      </c>
      <c r="F183" s="9" t="s">
        <v>649</v>
      </c>
      <c r="G183" s="9" t="s">
        <v>650</v>
      </c>
      <c r="H183" s="9" t="s">
        <v>651</v>
      </c>
      <c r="I183" s="9" t="s">
        <v>652</v>
      </c>
      <c r="J183" s="9" t="s">
        <v>653</v>
      </c>
      <c r="K183" s="9" t="s">
        <v>654</v>
      </c>
    </row>
    <row r="184">
      <c r="A184" s="10">
        <v>182.0</v>
      </c>
      <c r="B184" s="6" t="s">
        <v>386</v>
      </c>
      <c r="C184" s="7"/>
      <c r="D184" s="7"/>
      <c r="E184" s="8">
        <v>182.0</v>
      </c>
      <c r="F184" s="9" t="s">
        <v>651</v>
      </c>
      <c r="G184" s="9" t="s">
        <v>652</v>
      </c>
      <c r="H184" s="9" t="s">
        <v>653</v>
      </c>
      <c r="I184" s="9" t="s">
        <v>654</v>
      </c>
      <c r="J184" s="9" t="s">
        <v>655</v>
      </c>
      <c r="K184" s="9" t="s">
        <v>656</v>
      </c>
    </row>
    <row r="185">
      <c r="A185" s="10">
        <v>183.0</v>
      </c>
      <c r="B185" s="6" t="s">
        <v>387</v>
      </c>
      <c r="C185" s="7"/>
      <c r="D185" s="7"/>
      <c r="E185" s="8">
        <v>183.0</v>
      </c>
      <c r="F185" s="9" t="s">
        <v>653</v>
      </c>
      <c r="G185" s="9" t="s">
        <v>654</v>
      </c>
      <c r="H185" s="9" t="s">
        <v>655</v>
      </c>
      <c r="I185" s="9" t="s">
        <v>656</v>
      </c>
      <c r="J185" s="9" t="s">
        <v>657</v>
      </c>
      <c r="K185" s="9" t="s">
        <v>658</v>
      </c>
    </row>
    <row r="186">
      <c r="A186" s="10">
        <v>184.0</v>
      </c>
      <c r="B186" s="6" t="s">
        <v>390</v>
      </c>
      <c r="C186" s="7"/>
      <c r="D186" s="7"/>
      <c r="E186" s="8">
        <v>184.0</v>
      </c>
      <c r="F186" s="9" t="s">
        <v>655</v>
      </c>
      <c r="G186" s="9" t="s">
        <v>656</v>
      </c>
      <c r="H186" s="9" t="s">
        <v>657</v>
      </c>
      <c r="I186" s="9" t="s">
        <v>658</v>
      </c>
      <c r="J186" s="9" t="s">
        <v>659</v>
      </c>
      <c r="K186" s="9" t="s">
        <v>660</v>
      </c>
    </row>
    <row r="187">
      <c r="A187" s="10">
        <v>185.0</v>
      </c>
      <c r="B187" s="6" t="s">
        <v>391</v>
      </c>
      <c r="C187" s="7"/>
      <c r="D187" s="7"/>
      <c r="E187" s="8">
        <v>185.0</v>
      </c>
      <c r="F187" s="9" t="s">
        <v>657</v>
      </c>
      <c r="G187" s="9" t="s">
        <v>658</v>
      </c>
      <c r="H187" s="9" t="s">
        <v>659</v>
      </c>
      <c r="I187" s="9" t="s">
        <v>660</v>
      </c>
      <c r="J187" s="9" t="s">
        <v>661</v>
      </c>
      <c r="K187" s="9" t="s">
        <v>662</v>
      </c>
    </row>
    <row r="188">
      <c r="A188" s="10">
        <v>186.0</v>
      </c>
      <c r="B188" s="6" t="s">
        <v>394</v>
      </c>
      <c r="C188" s="7"/>
      <c r="D188" s="7"/>
      <c r="E188" s="8">
        <v>186.0</v>
      </c>
      <c r="F188" s="9" t="s">
        <v>659</v>
      </c>
      <c r="G188" s="9" t="s">
        <v>660</v>
      </c>
      <c r="H188" s="9" t="s">
        <v>661</v>
      </c>
      <c r="I188" s="9" t="s">
        <v>662</v>
      </c>
      <c r="J188" s="9" t="s">
        <v>663</v>
      </c>
      <c r="K188" s="9" t="s">
        <v>664</v>
      </c>
    </row>
    <row r="189">
      <c r="A189" s="10">
        <v>187.0</v>
      </c>
      <c r="B189" s="6" t="s">
        <v>395</v>
      </c>
      <c r="C189" s="7"/>
      <c r="D189" s="7"/>
      <c r="E189" s="8">
        <v>187.0</v>
      </c>
      <c r="F189" s="9" t="s">
        <v>661</v>
      </c>
      <c r="G189" s="9" t="s">
        <v>662</v>
      </c>
      <c r="H189" s="9" t="s">
        <v>663</v>
      </c>
      <c r="I189" s="9" t="s">
        <v>664</v>
      </c>
      <c r="J189" s="9" t="s">
        <v>665</v>
      </c>
      <c r="K189" s="9" t="s">
        <v>666</v>
      </c>
    </row>
    <row r="190">
      <c r="A190" s="10">
        <v>188.0</v>
      </c>
      <c r="C190" s="7"/>
      <c r="D190" s="7"/>
      <c r="E190" s="8">
        <v>188.0</v>
      </c>
      <c r="F190" s="9" t="s">
        <v>663</v>
      </c>
      <c r="G190" s="9" t="s">
        <v>664</v>
      </c>
      <c r="H190" s="9" t="s">
        <v>665</v>
      </c>
      <c r="I190" s="9" t="s">
        <v>666</v>
      </c>
      <c r="J190" s="9" t="s">
        <v>667</v>
      </c>
      <c r="K190" s="9" t="s">
        <v>668</v>
      </c>
    </row>
    <row r="191">
      <c r="A191" s="10">
        <v>189.0</v>
      </c>
      <c r="C191" s="7"/>
      <c r="D191" s="7"/>
      <c r="E191" s="8">
        <v>189.0</v>
      </c>
      <c r="F191" s="8">
        <v>0.0</v>
      </c>
      <c r="G191" s="8">
        <v>0.0</v>
      </c>
      <c r="H191" s="8">
        <v>0.0</v>
      </c>
      <c r="I191" s="8">
        <v>0.0</v>
      </c>
      <c r="J191" s="8">
        <v>0.0</v>
      </c>
      <c r="K191" s="8">
        <v>0.0</v>
      </c>
    </row>
    <row r="192">
      <c r="A192" s="10">
        <v>190.0</v>
      </c>
      <c r="C192" s="7"/>
      <c r="D192" s="7"/>
      <c r="E192" s="8">
        <v>190.0</v>
      </c>
      <c r="F192" s="8">
        <v>0.0</v>
      </c>
      <c r="G192" s="8">
        <v>0.0</v>
      </c>
      <c r="H192" s="8">
        <v>0.0</v>
      </c>
      <c r="I192" s="8">
        <v>0.0</v>
      </c>
      <c r="J192" s="8">
        <v>0.0</v>
      </c>
      <c r="K192" s="8">
        <v>0.0</v>
      </c>
    </row>
    <row r="193">
      <c r="A193" s="10">
        <v>191.0</v>
      </c>
      <c r="C193" s="7"/>
      <c r="D193" s="7"/>
      <c r="E193" s="8">
        <v>191.0</v>
      </c>
      <c r="F193" s="8">
        <v>0.0</v>
      </c>
      <c r="G193" s="8">
        <v>0.0</v>
      </c>
      <c r="H193" s="8">
        <v>0.0</v>
      </c>
      <c r="I193" s="8">
        <v>0.0</v>
      </c>
      <c r="J193" s="8">
        <v>0.0</v>
      </c>
      <c r="K193" s="8">
        <v>0.0</v>
      </c>
    </row>
    <row r="194">
      <c r="A194" s="10">
        <v>192.0</v>
      </c>
      <c r="B194" s="6" t="s">
        <v>669</v>
      </c>
      <c r="C194" s="7"/>
      <c r="D194" s="7"/>
      <c r="E194" s="8">
        <v>192.0</v>
      </c>
      <c r="F194" s="8">
        <v>0.0</v>
      </c>
      <c r="G194" s="8">
        <v>0.0</v>
      </c>
      <c r="H194" s="8">
        <v>0.0</v>
      </c>
      <c r="I194" s="8">
        <v>0.0</v>
      </c>
      <c r="J194" s="8">
        <v>0.0</v>
      </c>
      <c r="K194" s="8">
        <v>0.0</v>
      </c>
    </row>
    <row r="195">
      <c r="A195" s="10">
        <v>193.0</v>
      </c>
      <c r="B195" s="6" t="s">
        <v>407</v>
      </c>
      <c r="C195" s="7"/>
      <c r="D195" s="7"/>
      <c r="E195" s="8">
        <v>193.0</v>
      </c>
      <c r="F195" s="9" t="str">
        <f t="array" ref="F195:K206">"input[12][" &amp; (COLUMN(A1:F1)-COLUMN(A1) + 2*(ROW(O4:O15)-ROW(O4))) &amp; "]"</f>
        <v>input[12][0]</v>
      </c>
      <c r="G195" s="9" t="s">
        <v>670</v>
      </c>
      <c r="H195" s="9" t="s">
        <v>671</v>
      </c>
      <c r="I195" s="9" t="s">
        <v>672</v>
      </c>
      <c r="J195" s="9" t="s">
        <v>673</v>
      </c>
      <c r="K195" s="9" t="s">
        <v>674</v>
      </c>
    </row>
    <row r="196">
      <c r="A196" s="10">
        <v>194.0</v>
      </c>
      <c r="B196" s="6" t="s">
        <v>408</v>
      </c>
      <c r="C196" s="7"/>
      <c r="D196" s="7"/>
      <c r="E196" s="8">
        <v>194.0</v>
      </c>
      <c r="F196" s="9" t="s">
        <v>671</v>
      </c>
      <c r="G196" s="9" t="s">
        <v>672</v>
      </c>
      <c r="H196" s="9" t="s">
        <v>673</v>
      </c>
      <c r="I196" s="9" t="s">
        <v>674</v>
      </c>
      <c r="J196" s="9" t="s">
        <v>675</v>
      </c>
      <c r="K196" s="9" t="s">
        <v>676</v>
      </c>
    </row>
    <row r="197">
      <c r="A197" s="10">
        <v>195.0</v>
      </c>
      <c r="B197" s="6" t="s">
        <v>409</v>
      </c>
      <c r="C197" s="7"/>
      <c r="D197" s="7"/>
      <c r="E197" s="8">
        <v>195.0</v>
      </c>
      <c r="F197" s="9" t="s">
        <v>673</v>
      </c>
      <c r="G197" s="9" t="s">
        <v>674</v>
      </c>
      <c r="H197" s="9" t="s">
        <v>675</v>
      </c>
      <c r="I197" s="9" t="s">
        <v>676</v>
      </c>
      <c r="J197" s="9" t="s">
        <v>677</v>
      </c>
      <c r="K197" s="9" t="s">
        <v>678</v>
      </c>
    </row>
    <row r="198">
      <c r="A198" s="10">
        <v>196.0</v>
      </c>
      <c r="B198" s="6" t="s">
        <v>410</v>
      </c>
      <c r="C198" s="7"/>
      <c r="D198" s="7"/>
      <c r="E198" s="8">
        <v>196.0</v>
      </c>
      <c r="F198" s="9" t="s">
        <v>675</v>
      </c>
      <c r="G198" s="9" t="s">
        <v>676</v>
      </c>
      <c r="H198" s="9" t="s">
        <v>677</v>
      </c>
      <c r="I198" s="9" t="s">
        <v>678</v>
      </c>
      <c r="J198" s="9" t="s">
        <v>679</v>
      </c>
      <c r="K198" s="9" t="s">
        <v>680</v>
      </c>
    </row>
    <row r="199">
      <c r="A199" s="10">
        <v>197.0</v>
      </c>
      <c r="B199" s="6" t="s">
        <v>411</v>
      </c>
      <c r="C199" s="7"/>
      <c r="D199" s="7"/>
      <c r="E199" s="8">
        <v>197.0</v>
      </c>
      <c r="F199" s="9" t="s">
        <v>677</v>
      </c>
      <c r="G199" s="9" t="s">
        <v>678</v>
      </c>
      <c r="H199" s="9" t="s">
        <v>679</v>
      </c>
      <c r="I199" s="9" t="s">
        <v>680</v>
      </c>
      <c r="J199" s="9" t="s">
        <v>681</v>
      </c>
      <c r="K199" s="9" t="s">
        <v>682</v>
      </c>
    </row>
    <row r="200">
      <c r="A200" s="10">
        <v>198.0</v>
      </c>
      <c r="B200" s="6" t="s">
        <v>414</v>
      </c>
      <c r="C200" s="7"/>
      <c r="D200" s="7"/>
      <c r="E200" s="8">
        <v>198.0</v>
      </c>
      <c r="F200" s="9" t="s">
        <v>679</v>
      </c>
      <c r="G200" s="9" t="s">
        <v>680</v>
      </c>
      <c r="H200" s="9" t="s">
        <v>681</v>
      </c>
      <c r="I200" s="9" t="s">
        <v>682</v>
      </c>
      <c r="J200" s="9" t="s">
        <v>683</v>
      </c>
      <c r="K200" s="9" t="s">
        <v>684</v>
      </c>
    </row>
    <row r="201">
      <c r="A201" s="10">
        <v>199.0</v>
      </c>
      <c r="B201" s="6" t="s">
        <v>415</v>
      </c>
      <c r="C201" s="7"/>
      <c r="D201" s="7"/>
      <c r="E201" s="8">
        <v>199.0</v>
      </c>
      <c r="F201" s="9" t="s">
        <v>681</v>
      </c>
      <c r="G201" s="9" t="s">
        <v>682</v>
      </c>
      <c r="H201" s="9" t="s">
        <v>683</v>
      </c>
      <c r="I201" s="9" t="s">
        <v>684</v>
      </c>
      <c r="J201" s="9" t="s">
        <v>685</v>
      </c>
      <c r="K201" s="9" t="s">
        <v>686</v>
      </c>
    </row>
    <row r="202">
      <c r="A202" s="10">
        <v>200.0</v>
      </c>
      <c r="B202" s="6" t="s">
        <v>418</v>
      </c>
      <c r="C202" s="7"/>
      <c r="D202" s="7"/>
      <c r="E202" s="8">
        <v>200.0</v>
      </c>
      <c r="F202" s="9" t="s">
        <v>683</v>
      </c>
      <c r="G202" s="9" t="s">
        <v>684</v>
      </c>
      <c r="H202" s="9" t="s">
        <v>685</v>
      </c>
      <c r="I202" s="9" t="s">
        <v>686</v>
      </c>
      <c r="J202" s="9" t="s">
        <v>687</v>
      </c>
      <c r="K202" s="9" t="s">
        <v>688</v>
      </c>
    </row>
    <row r="203">
      <c r="A203" s="10">
        <v>201.0</v>
      </c>
      <c r="B203" s="6" t="s">
        <v>419</v>
      </c>
      <c r="C203" s="7"/>
      <c r="D203" s="7"/>
      <c r="E203" s="8">
        <v>201.0</v>
      </c>
      <c r="F203" s="9" t="s">
        <v>685</v>
      </c>
      <c r="G203" s="9" t="s">
        <v>686</v>
      </c>
      <c r="H203" s="9" t="s">
        <v>687</v>
      </c>
      <c r="I203" s="9" t="s">
        <v>688</v>
      </c>
      <c r="J203" s="9" t="s">
        <v>689</v>
      </c>
      <c r="K203" s="9" t="s">
        <v>690</v>
      </c>
    </row>
    <row r="204">
      <c r="A204" s="10">
        <v>202.0</v>
      </c>
      <c r="B204" s="6" t="s">
        <v>422</v>
      </c>
      <c r="C204" s="7"/>
      <c r="D204" s="7"/>
      <c r="E204" s="8">
        <v>202.0</v>
      </c>
      <c r="F204" s="9" t="s">
        <v>687</v>
      </c>
      <c r="G204" s="9" t="s">
        <v>688</v>
      </c>
      <c r="H204" s="9" t="s">
        <v>689</v>
      </c>
      <c r="I204" s="9" t="s">
        <v>690</v>
      </c>
      <c r="J204" s="9" t="s">
        <v>691</v>
      </c>
      <c r="K204" s="9" t="s">
        <v>692</v>
      </c>
    </row>
    <row r="205">
      <c r="A205" s="10">
        <v>203.0</v>
      </c>
      <c r="B205" s="6" t="s">
        <v>423</v>
      </c>
      <c r="C205" s="7"/>
      <c r="D205" s="7"/>
      <c r="E205" s="8">
        <v>203.0</v>
      </c>
      <c r="F205" s="9" t="s">
        <v>689</v>
      </c>
      <c r="G205" s="9" t="s">
        <v>690</v>
      </c>
      <c r="H205" s="9" t="s">
        <v>691</v>
      </c>
      <c r="I205" s="9" t="s">
        <v>692</v>
      </c>
      <c r="J205" s="9" t="s">
        <v>693</v>
      </c>
      <c r="K205" s="9" t="s">
        <v>694</v>
      </c>
    </row>
    <row r="206">
      <c r="A206" s="10">
        <v>204.0</v>
      </c>
      <c r="B206" s="6" t="s">
        <v>426</v>
      </c>
      <c r="C206" s="7"/>
      <c r="D206" s="7"/>
      <c r="E206" s="8">
        <v>204.0</v>
      </c>
      <c r="F206" s="9" t="s">
        <v>691</v>
      </c>
      <c r="G206" s="9" t="s">
        <v>692</v>
      </c>
      <c r="H206" s="9" t="s">
        <v>693</v>
      </c>
      <c r="I206" s="9" t="s">
        <v>694</v>
      </c>
      <c r="J206" s="9" t="s">
        <v>695</v>
      </c>
      <c r="K206" s="9" t="s">
        <v>696</v>
      </c>
    </row>
    <row r="207">
      <c r="A207" s="10">
        <v>205.0</v>
      </c>
      <c r="B207" s="6" t="s">
        <v>427</v>
      </c>
      <c r="C207" s="7"/>
      <c r="D207" s="7"/>
      <c r="E207" s="8">
        <v>205.0</v>
      </c>
      <c r="F207" s="8">
        <v>0.0</v>
      </c>
      <c r="G207" s="8">
        <v>0.0</v>
      </c>
      <c r="H207" s="8">
        <v>0.0</v>
      </c>
      <c r="I207" s="8">
        <v>0.0</v>
      </c>
      <c r="J207" s="8">
        <v>0.0</v>
      </c>
      <c r="K207" s="8">
        <v>0.0</v>
      </c>
    </row>
    <row r="208">
      <c r="A208" s="10">
        <v>206.0</v>
      </c>
      <c r="B208" s="6" t="s">
        <v>430</v>
      </c>
      <c r="C208" s="7"/>
      <c r="D208" s="7"/>
      <c r="E208" s="8">
        <v>206.0</v>
      </c>
      <c r="F208" s="8">
        <v>0.0</v>
      </c>
      <c r="G208" s="8">
        <v>0.0</v>
      </c>
      <c r="H208" s="8">
        <v>0.0</v>
      </c>
      <c r="I208" s="8">
        <v>0.0</v>
      </c>
      <c r="J208" s="8">
        <v>0.0</v>
      </c>
      <c r="K208" s="8">
        <v>0.0</v>
      </c>
    </row>
    <row r="209">
      <c r="A209" s="10">
        <v>207.0</v>
      </c>
      <c r="B209" s="6" t="s">
        <v>431</v>
      </c>
      <c r="C209" s="7"/>
      <c r="D209" s="7"/>
      <c r="E209" s="8">
        <v>207.0</v>
      </c>
      <c r="F209" s="8">
        <v>0.0</v>
      </c>
      <c r="G209" s="8">
        <v>0.0</v>
      </c>
      <c r="H209" s="8">
        <v>0.0</v>
      </c>
      <c r="I209" s="8">
        <v>0.0</v>
      </c>
      <c r="J209" s="8">
        <v>0.0</v>
      </c>
      <c r="K209" s="8">
        <v>0.0</v>
      </c>
    </row>
    <row r="210">
      <c r="A210" s="10">
        <v>208.0</v>
      </c>
      <c r="B210" s="6" t="s">
        <v>434</v>
      </c>
      <c r="C210" s="7"/>
      <c r="D210" s="7"/>
      <c r="E210" s="8">
        <v>208.0</v>
      </c>
      <c r="F210" s="8">
        <v>0.0</v>
      </c>
      <c r="G210" s="8">
        <v>0.0</v>
      </c>
      <c r="H210" s="8">
        <v>0.0</v>
      </c>
      <c r="I210" s="8">
        <v>0.0</v>
      </c>
      <c r="J210" s="8">
        <v>0.0</v>
      </c>
      <c r="K210" s="8">
        <v>0.0</v>
      </c>
    </row>
    <row r="211">
      <c r="A211" s="10">
        <v>209.0</v>
      </c>
      <c r="B211" s="6" t="s">
        <v>435</v>
      </c>
      <c r="C211" s="7"/>
      <c r="D211" s="7"/>
      <c r="E211" s="8">
        <v>209.0</v>
      </c>
      <c r="F211" s="9" t="str">
        <f t="array" ref="F211:K222">"input[13][" &amp; (COLUMN(A1:F1)-COLUMN(A1) + 2*(ROW(O4:O15)-ROW(O4))) &amp; "]"</f>
        <v>input[13][0]</v>
      </c>
      <c r="G211" s="9" t="s">
        <v>697</v>
      </c>
      <c r="H211" s="9" t="s">
        <v>698</v>
      </c>
      <c r="I211" s="9" t="s">
        <v>699</v>
      </c>
      <c r="J211" s="9" t="s">
        <v>700</v>
      </c>
      <c r="K211" s="9" t="s">
        <v>701</v>
      </c>
    </row>
    <row r="212">
      <c r="A212" s="10">
        <v>210.0</v>
      </c>
      <c r="B212" s="6" t="s">
        <v>438</v>
      </c>
      <c r="C212" s="7"/>
      <c r="D212" s="7"/>
      <c r="E212" s="8">
        <v>210.0</v>
      </c>
      <c r="F212" s="9" t="s">
        <v>698</v>
      </c>
      <c r="G212" s="9" t="s">
        <v>699</v>
      </c>
      <c r="H212" s="9" t="s">
        <v>700</v>
      </c>
      <c r="I212" s="9" t="s">
        <v>701</v>
      </c>
      <c r="J212" s="9" t="s">
        <v>702</v>
      </c>
      <c r="K212" s="9" t="s">
        <v>703</v>
      </c>
    </row>
    <row r="213">
      <c r="A213" s="10">
        <v>211.0</v>
      </c>
      <c r="B213" s="6" t="s">
        <v>439</v>
      </c>
      <c r="C213" s="7"/>
      <c r="D213" s="7"/>
      <c r="E213" s="8">
        <v>211.0</v>
      </c>
      <c r="F213" s="9" t="s">
        <v>700</v>
      </c>
      <c r="G213" s="9" t="s">
        <v>701</v>
      </c>
      <c r="H213" s="9" t="s">
        <v>702</v>
      </c>
      <c r="I213" s="9" t="s">
        <v>703</v>
      </c>
      <c r="J213" s="9" t="s">
        <v>704</v>
      </c>
      <c r="K213" s="9" t="s">
        <v>705</v>
      </c>
    </row>
    <row r="214">
      <c r="A214" s="10">
        <v>212.0</v>
      </c>
      <c r="B214" s="6" t="s">
        <v>442</v>
      </c>
      <c r="C214" s="7"/>
      <c r="D214" s="7"/>
      <c r="E214" s="8">
        <v>212.0</v>
      </c>
      <c r="F214" s="9" t="s">
        <v>702</v>
      </c>
      <c r="G214" s="9" t="s">
        <v>703</v>
      </c>
      <c r="H214" s="9" t="s">
        <v>704</v>
      </c>
      <c r="I214" s="9" t="s">
        <v>705</v>
      </c>
      <c r="J214" s="9" t="s">
        <v>706</v>
      </c>
      <c r="K214" s="9" t="s">
        <v>707</v>
      </c>
    </row>
    <row r="215">
      <c r="A215" s="10">
        <v>213.0</v>
      </c>
      <c r="B215" s="6" t="s">
        <v>443</v>
      </c>
      <c r="C215" s="7"/>
      <c r="D215" s="7"/>
      <c r="E215" s="8">
        <v>213.0</v>
      </c>
      <c r="F215" s="9" t="s">
        <v>704</v>
      </c>
      <c r="G215" s="9" t="s">
        <v>705</v>
      </c>
      <c r="H215" s="9" t="s">
        <v>706</v>
      </c>
      <c r="I215" s="9" t="s">
        <v>707</v>
      </c>
      <c r="J215" s="9" t="s">
        <v>708</v>
      </c>
      <c r="K215" s="9" t="s">
        <v>709</v>
      </c>
    </row>
    <row r="216">
      <c r="A216" s="10">
        <v>214.0</v>
      </c>
      <c r="B216" s="6" t="s">
        <v>446</v>
      </c>
      <c r="C216" s="7"/>
      <c r="D216" s="7"/>
      <c r="E216" s="8">
        <v>214.0</v>
      </c>
      <c r="F216" s="9" t="s">
        <v>706</v>
      </c>
      <c r="G216" s="9" t="s">
        <v>707</v>
      </c>
      <c r="H216" s="9" t="s">
        <v>708</v>
      </c>
      <c r="I216" s="9" t="s">
        <v>709</v>
      </c>
      <c r="J216" s="9" t="s">
        <v>710</v>
      </c>
      <c r="K216" s="9" t="s">
        <v>711</v>
      </c>
    </row>
    <row r="217">
      <c r="A217" s="10">
        <v>215.0</v>
      </c>
      <c r="B217" s="6" t="s">
        <v>447</v>
      </c>
      <c r="C217" s="7"/>
      <c r="D217" s="7"/>
      <c r="E217" s="8">
        <v>215.0</v>
      </c>
      <c r="F217" s="9" t="s">
        <v>708</v>
      </c>
      <c r="G217" s="9" t="s">
        <v>709</v>
      </c>
      <c r="H217" s="9" t="s">
        <v>710</v>
      </c>
      <c r="I217" s="9" t="s">
        <v>711</v>
      </c>
      <c r="J217" s="9" t="s">
        <v>712</v>
      </c>
      <c r="K217" s="9" t="s">
        <v>713</v>
      </c>
    </row>
    <row r="218">
      <c r="A218" s="10">
        <v>216.0</v>
      </c>
      <c r="B218" s="6" t="s">
        <v>450</v>
      </c>
      <c r="C218" s="7"/>
      <c r="D218" s="7"/>
      <c r="E218" s="8">
        <v>216.0</v>
      </c>
      <c r="F218" s="9" t="s">
        <v>710</v>
      </c>
      <c r="G218" s="9" t="s">
        <v>711</v>
      </c>
      <c r="H218" s="9" t="s">
        <v>712</v>
      </c>
      <c r="I218" s="9" t="s">
        <v>713</v>
      </c>
      <c r="J218" s="9" t="s">
        <v>714</v>
      </c>
      <c r="K218" s="9" t="s">
        <v>715</v>
      </c>
    </row>
    <row r="219">
      <c r="A219" s="10">
        <v>217.0</v>
      </c>
      <c r="B219" s="6" t="s">
        <v>451</v>
      </c>
      <c r="C219" s="7"/>
      <c r="D219" s="7"/>
      <c r="E219" s="8">
        <v>217.0</v>
      </c>
      <c r="F219" s="9" t="s">
        <v>712</v>
      </c>
      <c r="G219" s="9" t="s">
        <v>713</v>
      </c>
      <c r="H219" s="9" t="s">
        <v>714</v>
      </c>
      <c r="I219" s="9" t="s">
        <v>715</v>
      </c>
      <c r="J219" s="9" t="s">
        <v>716</v>
      </c>
      <c r="K219" s="9" t="s">
        <v>717</v>
      </c>
    </row>
    <row r="220">
      <c r="A220" s="10">
        <v>218.0</v>
      </c>
      <c r="B220" s="6" t="s">
        <v>454</v>
      </c>
      <c r="C220" s="7"/>
      <c r="D220" s="7"/>
      <c r="E220" s="8">
        <v>218.0</v>
      </c>
      <c r="F220" s="9" t="s">
        <v>714</v>
      </c>
      <c r="G220" s="9" t="s">
        <v>715</v>
      </c>
      <c r="H220" s="9" t="s">
        <v>716</v>
      </c>
      <c r="I220" s="9" t="s">
        <v>717</v>
      </c>
      <c r="J220" s="9" t="s">
        <v>718</v>
      </c>
      <c r="K220" s="9" t="s">
        <v>719</v>
      </c>
    </row>
    <row r="221">
      <c r="A221" s="10">
        <v>219.0</v>
      </c>
      <c r="B221" s="6" t="s">
        <v>455</v>
      </c>
      <c r="C221" s="7"/>
      <c r="D221" s="7"/>
      <c r="E221" s="8">
        <v>219.0</v>
      </c>
      <c r="F221" s="9" t="s">
        <v>716</v>
      </c>
      <c r="G221" s="9" t="s">
        <v>717</v>
      </c>
      <c r="H221" s="9" t="s">
        <v>718</v>
      </c>
      <c r="I221" s="9" t="s">
        <v>719</v>
      </c>
      <c r="J221" s="9" t="s">
        <v>720</v>
      </c>
      <c r="K221" s="9" t="s">
        <v>721</v>
      </c>
    </row>
    <row r="222">
      <c r="A222" s="10">
        <v>220.0</v>
      </c>
      <c r="C222" s="7"/>
      <c r="D222" s="7"/>
      <c r="E222" s="8">
        <v>220.0</v>
      </c>
      <c r="F222" s="9" t="s">
        <v>718</v>
      </c>
      <c r="G222" s="9" t="s">
        <v>719</v>
      </c>
      <c r="H222" s="9" t="s">
        <v>720</v>
      </c>
      <c r="I222" s="9" t="s">
        <v>721</v>
      </c>
      <c r="J222" s="9" t="s">
        <v>722</v>
      </c>
      <c r="K222" s="9" t="s">
        <v>723</v>
      </c>
    </row>
    <row r="223">
      <c r="A223" s="10">
        <v>221.0</v>
      </c>
      <c r="C223" s="7"/>
      <c r="D223" s="7"/>
      <c r="E223" s="8">
        <v>221.0</v>
      </c>
      <c r="F223" s="8">
        <v>0.0</v>
      </c>
      <c r="G223" s="8">
        <v>0.0</v>
      </c>
      <c r="H223" s="8">
        <v>0.0</v>
      </c>
      <c r="I223" s="8">
        <v>0.0</v>
      </c>
      <c r="J223" s="8">
        <v>0.0</v>
      </c>
      <c r="K223" s="8">
        <v>0.0</v>
      </c>
    </row>
    <row r="224">
      <c r="A224" s="10">
        <v>222.0</v>
      </c>
      <c r="C224" s="7"/>
      <c r="D224" s="7"/>
      <c r="E224" s="8">
        <v>222.0</v>
      </c>
      <c r="F224" s="8">
        <v>0.0</v>
      </c>
      <c r="G224" s="8">
        <v>0.0</v>
      </c>
      <c r="H224" s="8">
        <v>0.0</v>
      </c>
      <c r="I224" s="8">
        <v>0.0</v>
      </c>
      <c r="J224" s="8">
        <v>0.0</v>
      </c>
      <c r="K224" s="8">
        <v>0.0</v>
      </c>
    </row>
    <row r="225">
      <c r="A225" s="10">
        <v>223.0</v>
      </c>
      <c r="C225" s="7"/>
      <c r="D225" s="7"/>
      <c r="E225" s="8">
        <v>223.0</v>
      </c>
      <c r="F225" s="8">
        <v>0.0</v>
      </c>
      <c r="G225" s="8">
        <v>0.0</v>
      </c>
      <c r="H225" s="8">
        <v>0.0</v>
      </c>
      <c r="I225" s="8">
        <v>0.0</v>
      </c>
      <c r="J225" s="8">
        <v>0.0</v>
      </c>
      <c r="K225" s="8">
        <v>0.0</v>
      </c>
    </row>
    <row r="226">
      <c r="A226" s="10">
        <v>224.0</v>
      </c>
      <c r="B226" s="6" t="s">
        <v>724</v>
      </c>
      <c r="C226" s="7"/>
      <c r="D226" s="7"/>
      <c r="E226" s="8">
        <v>224.0</v>
      </c>
      <c r="F226" s="8">
        <v>0.0</v>
      </c>
      <c r="G226" s="8">
        <v>0.0</v>
      </c>
      <c r="H226" s="8">
        <v>0.0</v>
      </c>
      <c r="I226" s="8">
        <v>0.0</v>
      </c>
      <c r="J226" s="8">
        <v>0.0</v>
      </c>
      <c r="K226" s="8">
        <v>0.0</v>
      </c>
    </row>
    <row r="227">
      <c r="A227" s="10">
        <v>225.0</v>
      </c>
      <c r="B227" s="6" t="s">
        <v>466</v>
      </c>
      <c r="C227" s="7"/>
      <c r="D227" s="7"/>
      <c r="E227" s="8">
        <v>225.0</v>
      </c>
      <c r="F227" s="9" t="str">
        <f t="array" ref="F227:K238">"input[14][" &amp; (COLUMN(A1:F1)-COLUMN(A1) + 2*(ROW(O4:O15)-ROW(O4))) &amp; "]"</f>
        <v>input[14][0]</v>
      </c>
      <c r="G227" s="9" t="s">
        <v>725</v>
      </c>
      <c r="H227" s="9" t="s">
        <v>726</v>
      </c>
      <c r="I227" s="9" t="s">
        <v>727</v>
      </c>
      <c r="J227" s="9" t="s">
        <v>728</v>
      </c>
      <c r="K227" s="9" t="s">
        <v>729</v>
      </c>
    </row>
    <row r="228">
      <c r="A228" s="10">
        <v>226.0</v>
      </c>
      <c r="B228" s="6" t="s">
        <v>467</v>
      </c>
      <c r="C228" s="7"/>
      <c r="D228" s="7"/>
      <c r="E228" s="8">
        <v>226.0</v>
      </c>
      <c r="F228" s="9" t="s">
        <v>726</v>
      </c>
      <c r="G228" s="9" t="s">
        <v>727</v>
      </c>
      <c r="H228" s="9" t="s">
        <v>728</v>
      </c>
      <c r="I228" s="9" t="s">
        <v>729</v>
      </c>
      <c r="J228" s="9" t="s">
        <v>730</v>
      </c>
      <c r="K228" s="9" t="s">
        <v>731</v>
      </c>
    </row>
    <row r="229">
      <c r="A229" s="10">
        <v>227.0</v>
      </c>
      <c r="B229" s="6" t="s">
        <v>468</v>
      </c>
      <c r="C229" s="7"/>
      <c r="D229" s="7"/>
      <c r="E229" s="8">
        <v>227.0</v>
      </c>
      <c r="F229" s="9" t="s">
        <v>728</v>
      </c>
      <c r="G229" s="9" t="s">
        <v>729</v>
      </c>
      <c r="H229" s="9" t="s">
        <v>730</v>
      </c>
      <c r="I229" s="9" t="s">
        <v>731</v>
      </c>
      <c r="J229" s="9" t="s">
        <v>732</v>
      </c>
      <c r="K229" s="9" t="s">
        <v>733</v>
      </c>
    </row>
    <row r="230">
      <c r="A230" s="10">
        <v>228.0</v>
      </c>
      <c r="B230" s="6" t="s">
        <v>469</v>
      </c>
      <c r="C230" s="7"/>
      <c r="D230" s="7"/>
      <c r="E230" s="8">
        <v>228.0</v>
      </c>
      <c r="F230" s="9" t="s">
        <v>730</v>
      </c>
      <c r="G230" s="9" t="s">
        <v>731</v>
      </c>
      <c r="H230" s="9" t="s">
        <v>732</v>
      </c>
      <c r="I230" s="9" t="s">
        <v>733</v>
      </c>
      <c r="J230" s="9" t="s">
        <v>734</v>
      </c>
      <c r="K230" s="9" t="s">
        <v>735</v>
      </c>
    </row>
    <row r="231">
      <c r="A231" s="10">
        <v>229.0</v>
      </c>
      <c r="B231" s="6" t="s">
        <v>470</v>
      </c>
      <c r="C231" s="7"/>
      <c r="D231" s="7"/>
      <c r="E231" s="8">
        <v>229.0</v>
      </c>
      <c r="F231" s="9" t="s">
        <v>732</v>
      </c>
      <c r="G231" s="9" t="s">
        <v>733</v>
      </c>
      <c r="H231" s="9" t="s">
        <v>734</v>
      </c>
      <c r="I231" s="9" t="s">
        <v>735</v>
      </c>
      <c r="J231" s="9" t="s">
        <v>736</v>
      </c>
      <c r="K231" s="9" t="s">
        <v>737</v>
      </c>
    </row>
    <row r="232">
      <c r="A232" s="10">
        <v>230.0</v>
      </c>
      <c r="B232" s="6" t="s">
        <v>473</v>
      </c>
      <c r="C232" s="7"/>
      <c r="D232" s="7"/>
      <c r="E232" s="8">
        <v>230.0</v>
      </c>
      <c r="F232" s="9" t="s">
        <v>734</v>
      </c>
      <c r="G232" s="9" t="s">
        <v>735</v>
      </c>
      <c r="H232" s="9" t="s">
        <v>736</v>
      </c>
      <c r="I232" s="9" t="s">
        <v>737</v>
      </c>
      <c r="J232" s="9" t="s">
        <v>738</v>
      </c>
      <c r="K232" s="9" t="s">
        <v>739</v>
      </c>
    </row>
    <row r="233">
      <c r="A233" s="10">
        <v>231.0</v>
      </c>
      <c r="B233" s="6" t="s">
        <v>474</v>
      </c>
      <c r="C233" s="7"/>
      <c r="D233" s="7"/>
      <c r="E233" s="8">
        <v>231.0</v>
      </c>
      <c r="F233" s="9" t="s">
        <v>736</v>
      </c>
      <c r="G233" s="9" t="s">
        <v>737</v>
      </c>
      <c r="H233" s="9" t="s">
        <v>738</v>
      </c>
      <c r="I233" s="9" t="s">
        <v>739</v>
      </c>
      <c r="J233" s="9" t="s">
        <v>740</v>
      </c>
      <c r="K233" s="9" t="s">
        <v>741</v>
      </c>
    </row>
    <row r="234">
      <c r="A234" s="10">
        <v>232.0</v>
      </c>
      <c r="B234" s="6" t="s">
        <v>477</v>
      </c>
      <c r="C234" s="7"/>
      <c r="D234" s="7"/>
      <c r="E234" s="8">
        <v>232.0</v>
      </c>
      <c r="F234" s="9" t="s">
        <v>738</v>
      </c>
      <c r="G234" s="9" t="s">
        <v>739</v>
      </c>
      <c r="H234" s="9" t="s">
        <v>740</v>
      </c>
      <c r="I234" s="9" t="s">
        <v>741</v>
      </c>
      <c r="J234" s="9" t="s">
        <v>742</v>
      </c>
      <c r="K234" s="9" t="s">
        <v>743</v>
      </c>
    </row>
    <row r="235">
      <c r="A235" s="10">
        <v>233.0</v>
      </c>
      <c r="B235" s="6" t="s">
        <v>478</v>
      </c>
      <c r="C235" s="7"/>
      <c r="D235" s="7"/>
      <c r="E235" s="8">
        <v>233.0</v>
      </c>
      <c r="F235" s="9" t="s">
        <v>740</v>
      </c>
      <c r="G235" s="9" t="s">
        <v>741</v>
      </c>
      <c r="H235" s="9" t="s">
        <v>742</v>
      </c>
      <c r="I235" s="9" t="s">
        <v>743</v>
      </c>
      <c r="J235" s="9" t="s">
        <v>744</v>
      </c>
      <c r="K235" s="9" t="s">
        <v>745</v>
      </c>
    </row>
    <row r="236">
      <c r="A236" s="10">
        <v>234.0</v>
      </c>
      <c r="B236" s="6" t="s">
        <v>481</v>
      </c>
      <c r="C236" s="7"/>
      <c r="D236" s="7"/>
      <c r="E236" s="8">
        <v>234.0</v>
      </c>
      <c r="F236" s="9" t="s">
        <v>742</v>
      </c>
      <c r="G236" s="9" t="s">
        <v>743</v>
      </c>
      <c r="H236" s="9" t="s">
        <v>744</v>
      </c>
      <c r="I236" s="9" t="s">
        <v>745</v>
      </c>
      <c r="J236" s="9" t="s">
        <v>746</v>
      </c>
      <c r="K236" s="9" t="s">
        <v>747</v>
      </c>
    </row>
    <row r="237">
      <c r="A237" s="10">
        <v>235.0</v>
      </c>
      <c r="B237" s="6" t="s">
        <v>482</v>
      </c>
      <c r="C237" s="7"/>
      <c r="D237" s="7"/>
      <c r="E237" s="8">
        <v>235.0</v>
      </c>
      <c r="F237" s="9" t="s">
        <v>744</v>
      </c>
      <c r="G237" s="9" t="s">
        <v>745</v>
      </c>
      <c r="H237" s="9" t="s">
        <v>746</v>
      </c>
      <c r="I237" s="9" t="s">
        <v>747</v>
      </c>
      <c r="J237" s="9" t="s">
        <v>748</v>
      </c>
      <c r="K237" s="9" t="s">
        <v>749</v>
      </c>
    </row>
    <row r="238">
      <c r="A238" s="10">
        <v>236.0</v>
      </c>
      <c r="B238" s="6" t="s">
        <v>485</v>
      </c>
      <c r="C238" s="7"/>
      <c r="D238" s="7"/>
      <c r="E238" s="8">
        <v>236.0</v>
      </c>
      <c r="F238" s="9" t="s">
        <v>746</v>
      </c>
      <c r="G238" s="9" t="s">
        <v>747</v>
      </c>
      <c r="H238" s="9" t="s">
        <v>748</v>
      </c>
      <c r="I238" s="9" t="s">
        <v>749</v>
      </c>
      <c r="J238" s="9" t="s">
        <v>750</v>
      </c>
      <c r="K238" s="9" t="s">
        <v>751</v>
      </c>
    </row>
    <row r="239">
      <c r="A239" s="10">
        <v>237.0</v>
      </c>
      <c r="B239" s="6" t="s">
        <v>486</v>
      </c>
      <c r="C239" s="7"/>
      <c r="D239" s="7"/>
      <c r="E239" s="8">
        <v>237.0</v>
      </c>
      <c r="F239" s="8">
        <v>0.0</v>
      </c>
      <c r="G239" s="8">
        <v>0.0</v>
      </c>
      <c r="H239" s="8">
        <v>0.0</v>
      </c>
      <c r="I239" s="8">
        <v>0.0</v>
      </c>
      <c r="J239" s="8">
        <v>0.0</v>
      </c>
      <c r="K239" s="8">
        <v>0.0</v>
      </c>
    </row>
    <row r="240">
      <c r="A240" s="10">
        <v>238.0</v>
      </c>
      <c r="B240" s="6" t="s">
        <v>489</v>
      </c>
      <c r="C240" s="7"/>
      <c r="D240" s="7"/>
      <c r="E240" s="8">
        <v>238.0</v>
      </c>
      <c r="F240" s="8">
        <v>0.0</v>
      </c>
      <c r="G240" s="8">
        <v>0.0</v>
      </c>
      <c r="H240" s="8">
        <v>0.0</v>
      </c>
      <c r="I240" s="8">
        <v>0.0</v>
      </c>
      <c r="J240" s="8">
        <v>0.0</v>
      </c>
      <c r="K240" s="8">
        <v>0.0</v>
      </c>
    </row>
    <row r="241">
      <c r="A241" s="10">
        <v>239.0</v>
      </c>
      <c r="B241" s="6" t="s">
        <v>490</v>
      </c>
      <c r="C241" s="7"/>
      <c r="D241" s="7"/>
      <c r="E241" s="8">
        <v>239.0</v>
      </c>
      <c r="F241" s="8">
        <v>0.0</v>
      </c>
      <c r="G241" s="8">
        <v>0.0</v>
      </c>
      <c r="H241" s="8">
        <v>0.0</v>
      </c>
      <c r="I241" s="8">
        <v>0.0</v>
      </c>
      <c r="J241" s="8">
        <v>0.0</v>
      </c>
      <c r="K241" s="8">
        <v>0.0</v>
      </c>
    </row>
    <row r="242">
      <c r="A242" s="10">
        <v>240.0</v>
      </c>
      <c r="B242" s="6" t="s">
        <v>493</v>
      </c>
      <c r="C242" s="7"/>
      <c r="D242" s="7"/>
      <c r="E242" s="8">
        <v>240.0</v>
      </c>
      <c r="F242" s="8">
        <v>0.0</v>
      </c>
      <c r="G242" s="8">
        <v>0.0</v>
      </c>
      <c r="H242" s="8">
        <v>0.0</v>
      </c>
      <c r="I242" s="8">
        <v>0.0</v>
      </c>
      <c r="J242" s="8">
        <v>0.0</v>
      </c>
      <c r="K242" s="8">
        <v>0.0</v>
      </c>
    </row>
    <row r="243">
      <c r="A243" s="10">
        <v>241.0</v>
      </c>
      <c r="B243" s="6" t="s">
        <v>494</v>
      </c>
      <c r="C243" s="7"/>
      <c r="D243" s="7"/>
      <c r="E243" s="8">
        <v>241.0</v>
      </c>
      <c r="F243" s="9" t="str">
        <f t="array" ref="F243:K254">"input[15][" &amp; (COLUMN(A1:F1)-COLUMN(A1) + 2*(ROW(O4:O15)-ROW(O4))) &amp; "]"</f>
        <v>input[15][0]</v>
      </c>
      <c r="G243" s="9" t="s">
        <v>752</v>
      </c>
      <c r="H243" s="9" t="s">
        <v>753</v>
      </c>
      <c r="I243" s="9" t="s">
        <v>754</v>
      </c>
      <c r="J243" s="9" t="s">
        <v>755</v>
      </c>
      <c r="K243" s="9" t="s">
        <v>756</v>
      </c>
    </row>
    <row r="244">
      <c r="A244" s="10">
        <v>242.0</v>
      </c>
      <c r="B244" s="6" t="s">
        <v>497</v>
      </c>
      <c r="C244" s="7"/>
      <c r="D244" s="7"/>
      <c r="E244" s="8">
        <v>242.0</v>
      </c>
      <c r="F244" s="9" t="s">
        <v>753</v>
      </c>
      <c r="G244" s="9" t="s">
        <v>754</v>
      </c>
      <c r="H244" s="9" t="s">
        <v>755</v>
      </c>
      <c r="I244" s="9" t="s">
        <v>756</v>
      </c>
      <c r="J244" s="9" t="s">
        <v>757</v>
      </c>
      <c r="K244" s="9" t="s">
        <v>758</v>
      </c>
    </row>
    <row r="245">
      <c r="A245" s="10">
        <v>243.0</v>
      </c>
      <c r="B245" s="6" t="s">
        <v>498</v>
      </c>
      <c r="C245" s="7"/>
      <c r="D245" s="7"/>
      <c r="E245" s="8">
        <v>243.0</v>
      </c>
      <c r="F245" s="9" t="s">
        <v>755</v>
      </c>
      <c r="G245" s="9" t="s">
        <v>756</v>
      </c>
      <c r="H245" s="9" t="s">
        <v>757</v>
      </c>
      <c r="I245" s="9" t="s">
        <v>758</v>
      </c>
      <c r="J245" s="9" t="s">
        <v>759</v>
      </c>
      <c r="K245" s="9" t="s">
        <v>760</v>
      </c>
    </row>
    <row r="246">
      <c r="A246" s="10">
        <v>244.0</v>
      </c>
      <c r="B246" s="6" t="s">
        <v>501</v>
      </c>
      <c r="C246" s="7"/>
      <c r="D246" s="7"/>
      <c r="E246" s="8">
        <v>244.0</v>
      </c>
      <c r="F246" s="9" t="s">
        <v>757</v>
      </c>
      <c r="G246" s="9" t="s">
        <v>758</v>
      </c>
      <c r="H246" s="9" t="s">
        <v>759</v>
      </c>
      <c r="I246" s="9" t="s">
        <v>760</v>
      </c>
      <c r="J246" s="9" t="s">
        <v>761</v>
      </c>
      <c r="K246" s="9" t="s">
        <v>762</v>
      </c>
    </row>
    <row r="247">
      <c r="A247" s="10">
        <v>245.0</v>
      </c>
      <c r="B247" s="6" t="s">
        <v>502</v>
      </c>
      <c r="C247" s="7"/>
      <c r="D247" s="7"/>
      <c r="E247" s="8">
        <v>245.0</v>
      </c>
      <c r="F247" s="9" t="s">
        <v>759</v>
      </c>
      <c r="G247" s="9" t="s">
        <v>760</v>
      </c>
      <c r="H247" s="9" t="s">
        <v>761</v>
      </c>
      <c r="I247" s="9" t="s">
        <v>762</v>
      </c>
      <c r="J247" s="9" t="s">
        <v>763</v>
      </c>
      <c r="K247" s="9" t="s">
        <v>764</v>
      </c>
    </row>
    <row r="248">
      <c r="A248" s="10">
        <v>246.0</v>
      </c>
      <c r="B248" s="6" t="s">
        <v>505</v>
      </c>
      <c r="C248" s="7"/>
      <c r="D248" s="7"/>
      <c r="E248" s="8">
        <v>246.0</v>
      </c>
      <c r="F248" s="9" t="s">
        <v>761</v>
      </c>
      <c r="G248" s="9" t="s">
        <v>762</v>
      </c>
      <c r="H248" s="9" t="s">
        <v>763</v>
      </c>
      <c r="I248" s="9" t="s">
        <v>764</v>
      </c>
      <c r="J248" s="9" t="s">
        <v>765</v>
      </c>
      <c r="K248" s="9" t="s">
        <v>766</v>
      </c>
    </row>
    <row r="249">
      <c r="A249" s="10">
        <v>247.0</v>
      </c>
      <c r="B249" s="6" t="s">
        <v>506</v>
      </c>
      <c r="C249" s="7"/>
      <c r="D249" s="7"/>
      <c r="E249" s="8">
        <v>247.0</v>
      </c>
      <c r="F249" s="9" t="s">
        <v>763</v>
      </c>
      <c r="G249" s="9" t="s">
        <v>764</v>
      </c>
      <c r="H249" s="9" t="s">
        <v>765</v>
      </c>
      <c r="I249" s="9" t="s">
        <v>766</v>
      </c>
      <c r="J249" s="9" t="s">
        <v>767</v>
      </c>
      <c r="K249" s="9" t="s">
        <v>768</v>
      </c>
    </row>
    <row r="250">
      <c r="A250" s="10">
        <v>248.0</v>
      </c>
      <c r="B250" s="6" t="s">
        <v>509</v>
      </c>
      <c r="C250" s="7"/>
      <c r="D250" s="7"/>
      <c r="E250" s="8">
        <v>248.0</v>
      </c>
      <c r="F250" s="9" t="s">
        <v>765</v>
      </c>
      <c r="G250" s="9" t="s">
        <v>766</v>
      </c>
      <c r="H250" s="9" t="s">
        <v>767</v>
      </c>
      <c r="I250" s="9" t="s">
        <v>768</v>
      </c>
      <c r="J250" s="9" t="s">
        <v>769</v>
      </c>
      <c r="K250" s="9" t="s">
        <v>770</v>
      </c>
    </row>
    <row r="251">
      <c r="A251" s="10">
        <v>249.0</v>
      </c>
      <c r="B251" s="6" t="s">
        <v>510</v>
      </c>
      <c r="C251" s="7"/>
      <c r="D251" s="7"/>
      <c r="E251" s="8">
        <v>249.0</v>
      </c>
      <c r="F251" s="9" t="s">
        <v>767</v>
      </c>
      <c r="G251" s="9" t="s">
        <v>768</v>
      </c>
      <c r="H251" s="9" t="s">
        <v>769</v>
      </c>
      <c r="I251" s="9" t="s">
        <v>770</v>
      </c>
      <c r="J251" s="9" t="s">
        <v>771</v>
      </c>
      <c r="K251" s="9" t="s">
        <v>772</v>
      </c>
    </row>
    <row r="252">
      <c r="A252" s="10">
        <v>250.0</v>
      </c>
      <c r="B252" s="6" t="s">
        <v>513</v>
      </c>
      <c r="C252" s="7"/>
      <c r="D252" s="7"/>
      <c r="E252" s="8">
        <v>250.0</v>
      </c>
      <c r="F252" s="9" t="s">
        <v>769</v>
      </c>
      <c r="G252" s="9" t="s">
        <v>770</v>
      </c>
      <c r="H252" s="9" t="s">
        <v>771</v>
      </c>
      <c r="I252" s="9" t="s">
        <v>772</v>
      </c>
      <c r="J252" s="9" t="s">
        <v>773</v>
      </c>
      <c r="K252" s="9" t="s">
        <v>774</v>
      </c>
    </row>
    <row r="253">
      <c r="A253" s="10">
        <v>251.0</v>
      </c>
      <c r="B253" s="6" t="s">
        <v>514</v>
      </c>
      <c r="C253" s="7"/>
      <c r="D253" s="7"/>
      <c r="E253" s="8">
        <v>251.0</v>
      </c>
      <c r="F253" s="9" t="s">
        <v>771</v>
      </c>
      <c r="G253" s="9" t="s">
        <v>772</v>
      </c>
      <c r="H253" s="9" t="s">
        <v>773</v>
      </c>
      <c r="I253" s="9" t="s">
        <v>774</v>
      </c>
      <c r="J253" s="9" t="s">
        <v>775</v>
      </c>
      <c r="K253" s="9" t="s">
        <v>776</v>
      </c>
    </row>
    <row r="254">
      <c r="A254" s="10">
        <v>252.0</v>
      </c>
      <c r="C254" s="7"/>
      <c r="D254" s="7"/>
      <c r="E254" s="8">
        <v>252.0</v>
      </c>
      <c r="F254" s="9" t="s">
        <v>773</v>
      </c>
      <c r="G254" s="9" t="s">
        <v>774</v>
      </c>
      <c r="H254" s="9" t="s">
        <v>775</v>
      </c>
      <c r="I254" s="9" t="s">
        <v>776</v>
      </c>
      <c r="J254" s="9" t="s">
        <v>777</v>
      </c>
      <c r="K254" s="9" t="s">
        <v>778</v>
      </c>
    </row>
    <row r="255">
      <c r="A255" s="10">
        <v>253.0</v>
      </c>
      <c r="C255" s="7"/>
      <c r="D255" s="7"/>
      <c r="E255" s="8">
        <v>253.0</v>
      </c>
      <c r="F255" s="8">
        <v>0.0</v>
      </c>
      <c r="G255" s="8">
        <v>0.0</v>
      </c>
      <c r="H255" s="8">
        <v>0.0</v>
      </c>
      <c r="I255" s="8">
        <v>0.0</v>
      </c>
      <c r="J255" s="8">
        <v>0.0</v>
      </c>
      <c r="K255" s="8">
        <v>0.0</v>
      </c>
    </row>
    <row r="256">
      <c r="A256" s="10">
        <v>254.0</v>
      </c>
      <c r="C256" s="7"/>
      <c r="D256" s="7"/>
      <c r="E256" s="8">
        <v>254.0</v>
      </c>
      <c r="F256" s="8">
        <v>0.0</v>
      </c>
      <c r="G256" s="8">
        <v>0.0</v>
      </c>
      <c r="H256" s="8">
        <v>0.0</v>
      </c>
      <c r="I256" s="8">
        <v>0.0</v>
      </c>
      <c r="J256" s="8">
        <v>0.0</v>
      </c>
      <c r="K256" s="8">
        <v>0.0</v>
      </c>
    </row>
    <row r="257">
      <c r="A257" s="10">
        <v>255.0</v>
      </c>
      <c r="C257" s="7"/>
      <c r="D257" s="7"/>
      <c r="E257" s="8">
        <v>255.0</v>
      </c>
      <c r="F257" s="8">
        <v>0.0</v>
      </c>
      <c r="G257" s="8">
        <v>0.0</v>
      </c>
      <c r="H257" s="8">
        <v>0.0</v>
      </c>
      <c r="I257" s="8">
        <v>0.0</v>
      </c>
      <c r="J257" s="8">
        <v>0.0</v>
      </c>
      <c r="K257" s="8">
        <v>0.0</v>
      </c>
    </row>
    <row r="258">
      <c r="A258" s="10">
        <v>256.0</v>
      </c>
      <c r="B258" s="6" t="s">
        <v>779</v>
      </c>
      <c r="C258" s="7"/>
      <c r="D258" s="7"/>
      <c r="E258" s="8">
        <v>256.0</v>
      </c>
      <c r="F258" s="8">
        <v>0.0</v>
      </c>
      <c r="G258" s="8">
        <v>0.0</v>
      </c>
      <c r="H258" s="8">
        <v>0.0</v>
      </c>
      <c r="I258" s="8">
        <v>0.0</v>
      </c>
      <c r="J258" s="8">
        <v>0.0</v>
      </c>
      <c r="K258" s="8">
        <v>0.0</v>
      </c>
    </row>
    <row r="259">
      <c r="A259" s="10">
        <v>257.0</v>
      </c>
      <c r="B259" s="6" t="s">
        <v>526</v>
      </c>
      <c r="C259" s="7"/>
      <c r="D259" s="7"/>
      <c r="E259" s="8">
        <v>257.0</v>
      </c>
      <c r="F259" s="9" t="str">
        <f t="array" ref="F259:K270">"input[16][" &amp; (COLUMN(A1:F1)-COLUMN(A1) + 2*(ROW(O4:O15)-ROW(O4))) &amp; "]"</f>
        <v>input[16][0]</v>
      </c>
      <c r="G259" s="9" t="s">
        <v>780</v>
      </c>
      <c r="H259" s="9" t="s">
        <v>781</v>
      </c>
      <c r="I259" s="9" t="s">
        <v>782</v>
      </c>
      <c r="J259" s="9" t="s">
        <v>783</v>
      </c>
      <c r="K259" s="9" t="s">
        <v>784</v>
      </c>
    </row>
    <row r="260">
      <c r="A260" s="10">
        <v>258.0</v>
      </c>
      <c r="B260" s="6" t="s">
        <v>527</v>
      </c>
      <c r="C260" s="7"/>
      <c r="D260" s="7"/>
      <c r="E260" s="8">
        <v>258.0</v>
      </c>
      <c r="F260" s="9" t="s">
        <v>781</v>
      </c>
      <c r="G260" s="9" t="s">
        <v>782</v>
      </c>
      <c r="H260" s="9" t="s">
        <v>783</v>
      </c>
      <c r="I260" s="9" t="s">
        <v>784</v>
      </c>
      <c r="J260" s="9" t="s">
        <v>785</v>
      </c>
      <c r="K260" s="9" t="s">
        <v>786</v>
      </c>
    </row>
    <row r="261">
      <c r="A261" s="10">
        <v>259.0</v>
      </c>
      <c r="B261" s="6" t="s">
        <v>528</v>
      </c>
      <c r="C261" s="7"/>
      <c r="D261" s="7"/>
      <c r="E261" s="8">
        <v>259.0</v>
      </c>
      <c r="F261" s="9" t="s">
        <v>783</v>
      </c>
      <c r="G261" s="9" t="s">
        <v>784</v>
      </c>
      <c r="H261" s="9" t="s">
        <v>785</v>
      </c>
      <c r="I261" s="9" t="s">
        <v>786</v>
      </c>
      <c r="J261" s="9" t="s">
        <v>787</v>
      </c>
      <c r="K261" s="9" t="s">
        <v>788</v>
      </c>
    </row>
    <row r="262">
      <c r="A262" s="10">
        <v>260.0</v>
      </c>
      <c r="B262" s="6" t="s">
        <v>529</v>
      </c>
      <c r="C262" s="7"/>
      <c r="D262" s="7"/>
      <c r="E262" s="8">
        <v>260.0</v>
      </c>
      <c r="F262" s="9" t="s">
        <v>785</v>
      </c>
      <c r="G262" s="9" t="s">
        <v>786</v>
      </c>
      <c r="H262" s="9" t="s">
        <v>787</v>
      </c>
      <c r="I262" s="9" t="s">
        <v>788</v>
      </c>
      <c r="J262" s="9" t="s">
        <v>789</v>
      </c>
      <c r="K262" s="9" t="s">
        <v>790</v>
      </c>
    </row>
    <row r="263">
      <c r="A263" s="10">
        <v>261.0</v>
      </c>
      <c r="B263" s="6" t="s">
        <v>530</v>
      </c>
      <c r="C263" s="7"/>
      <c r="D263" s="7"/>
      <c r="E263" s="8">
        <v>261.0</v>
      </c>
      <c r="F263" s="9" t="s">
        <v>787</v>
      </c>
      <c r="G263" s="9" t="s">
        <v>788</v>
      </c>
      <c r="H263" s="9" t="s">
        <v>789</v>
      </c>
      <c r="I263" s="9" t="s">
        <v>790</v>
      </c>
      <c r="J263" s="9" t="s">
        <v>791</v>
      </c>
      <c r="K263" s="9" t="s">
        <v>792</v>
      </c>
    </row>
    <row r="264">
      <c r="A264" s="10">
        <v>262.0</v>
      </c>
      <c r="B264" s="6" t="s">
        <v>533</v>
      </c>
      <c r="C264" s="7"/>
      <c r="D264" s="7"/>
      <c r="E264" s="8">
        <v>262.0</v>
      </c>
      <c r="F264" s="9" t="s">
        <v>789</v>
      </c>
      <c r="G264" s="9" t="s">
        <v>790</v>
      </c>
      <c r="H264" s="9" t="s">
        <v>791</v>
      </c>
      <c r="I264" s="9" t="s">
        <v>792</v>
      </c>
      <c r="J264" s="9" t="s">
        <v>793</v>
      </c>
      <c r="K264" s="9" t="s">
        <v>794</v>
      </c>
    </row>
    <row r="265">
      <c r="A265" s="10">
        <v>263.0</v>
      </c>
      <c r="B265" s="6" t="s">
        <v>534</v>
      </c>
      <c r="C265" s="7"/>
      <c r="D265" s="7"/>
      <c r="E265" s="8">
        <v>263.0</v>
      </c>
      <c r="F265" s="9" t="s">
        <v>791</v>
      </c>
      <c r="G265" s="9" t="s">
        <v>792</v>
      </c>
      <c r="H265" s="9" t="s">
        <v>793</v>
      </c>
      <c r="I265" s="9" t="s">
        <v>794</v>
      </c>
      <c r="J265" s="9" t="s">
        <v>795</v>
      </c>
      <c r="K265" s="9" t="s">
        <v>796</v>
      </c>
    </row>
    <row r="266">
      <c r="A266" s="10">
        <v>264.0</v>
      </c>
      <c r="B266" s="6" t="s">
        <v>537</v>
      </c>
      <c r="C266" s="7"/>
      <c r="D266" s="7"/>
      <c r="E266" s="8">
        <v>264.0</v>
      </c>
      <c r="F266" s="9" t="s">
        <v>793</v>
      </c>
      <c r="G266" s="9" t="s">
        <v>794</v>
      </c>
      <c r="H266" s="9" t="s">
        <v>795</v>
      </c>
      <c r="I266" s="9" t="s">
        <v>796</v>
      </c>
      <c r="J266" s="9" t="s">
        <v>797</v>
      </c>
      <c r="K266" s="9" t="s">
        <v>798</v>
      </c>
    </row>
    <row r="267">
      <c r="A267" s="10">
        <v>265.0</v>
      </c>
      <c r="B267" s="6" t="s">
        <v>538</v>
      </c>
      <c r="C267" s="7"/>
      <c r="D267" s="7"/>
      <c r="E267" s="8">
        <v>265.0</v>
      </c>
      <c r="F267" s="9" t="s">
        <v>795</v>
      </c>
      <c r="G267" s="9" t="s">
        <v>796</v>
      </c>
      <c r="H267" s="9" t="s">
        <v>797</v>
      </c>
      <c r="I267" s="9" t="s">
        <v>798</v>
      </c>
      <c r="J267" s="9" t="s">
        <v>799</v>
      </c>
      <c r="K267" s="9" t="s">
        <v>800</v>
      </c>
    </row>
    <row r="268">
      <c r="A268" s="10">
        <v>266.0</v>
      </c>
      <c r="B268" s="6" t="s">
        <v>541</v>
      </c>
      <c r="C268" s="7"/>
      <c r="D268" s="7"/>
      <c r="E268" s="8">
        <v>266.0</v>
      </c>
      <c r="F268" s="9" t="s">
        <v>797</v>
      </c>
      <c r="G268" s="9" t="s">
        <v>798</v>
      </c>
      <c r="H268" s="9" t="s">
        <v>799</v>
      </c>
      <c r="I268" s="9" t="s">
        <v>800</v>
      </c>
      <c r="J268" s="9" t="s">
        <v>801</v>
      </c>
      <c r="K268" s="9" t="s">
        <v>802</v>
      </c>
    </row>
    <row r="269">
      <c r="A269" s="10">
        <v>267.0</v>
      </c>
      <c r="B269" s="6" t="s">
        <v>542</v>
      </c>
      <c r="C269" s="7"/>
      <c r="D269" s="7"/>
      <c r="E269" s="8">
        <v>267.0</v>
      </c>
      <c r="F269" s="9" t="s">
        <v>799</v>
      </c>
      <c r="G269" s="9" t="s">
        <v>800</v>
      </c>
      <c r="H269" s="9" t="s">
        <v>801</v>
      </c>
      <c r="I269" s="9" t="s">
        <v>802</v>
      </c>
      <c r="J269" s="9" t="s">
        <v>803</v>
      </c>
      <c r="K269" s="9" t="s">
        <v>804</v>
      </c>
    </row>
    <row r="270">
      <c r="A270" s="10">
        <v>268.0</v>
      </c>
      <c r="B270" s="6" t="s">
        <v>545</v>
      </c>
      <c r="C270" s="7"/>
      <c r="D270" s="7"/>
      <c r="E270" s="8">
        <v>268.0</v>
      </c>
      <c r="F270" s="9" t="s">
        <v>801</v>
      </c>
      <c r="G270" s="9" t="s">
        <v>802</v>
      </c>
      <c r="H270" s="9" t="s">
        <v>803</v>
      </c>
      <c r="I270" s="9" t="s">
        <v>804</v>
      </c>
      <c r="J270" s="9" t="s">
        <v>805</v>
      </c>
      <c r="K270" s="9" t="s">
        <v>806</v>
      </c>
    </row>
    <row r="271">
      <c r="A271" s="10">
        <v>269.0</v>
      </c>
      <c r="B271" s="6" t="s">
        <v>546</v>
      </c>
      <c r="C271" s="7"/>
      <c r="D271" s="7"/>
      <c r="E271" s="8">
        <v>269.0</v>
      </c>
      <c r="F271" s="8">
        <v>0.0</v>
      </c>
      <c r="G271" s="8">
        <v>0.0</v>
      </c>
      <c r="H271" s="8">
        <v>0.0</v>
      </c>
      <c r="I271" s="8">
        <v>0.0</v>
      </c>
      <c r="J271" s="8">
        <v>0.0</v>
      </c>
      <c r="K271" s="8">
        <v>0.0</v>
      </c>
    </row>
    <row r="272">
      <c r="A272" s="10">
        <v>270.0</v>
      </c>
      <c r="B272" s="6" t="s">
        <v>549</v>
      </c>
      <c r="C272" s="7"/>
      <c r="D272" s="7"/>
      <c r="E272" s="8">
        <v>270.0</v>
      </c>
      <c r="F272" s="8">
        <v>0.0</v>
      </c>
      <c r="G272" s="8">
        <v>0.0</v>
      </c>
      <c r="H272" s="8">
        <v>0.0</v>
      </c>
      <c r="I272" s="8">
        <v>0.0</v>
      </c>
      <c r="J272" s="8">
        <v>0.0</v>
      </c>
      <c r="K272" s="8">
        <v>0.0</v>
      </c>
    </row>
    <row r="273">
      <c r="A273" s="10">
        <v>271.0</v>
      </c>
      <c r="B273" s="6" t="s">
        <v>550</v>
      </c>
      <c r="C273" s="7"/>
      <c r="D273" s="7"/>
      <c r="E273" s="8">
        <v>271.0</v>
      </c>
      <c r="F273" s="8">
        <v>0.0</v>
      </c>
      <c r="G273" s="8">
        <v>0.0</v>
      </c>
      <c r="H273" s="8">
        <v>0.0</v>
      </c>
      <c r="I273" s="8">
        <v>0.0</v>
      </c>
      <c r="J273" s="8">
        <v>0.0</v>
      </c>
      <c r="K273" s="8">
        <v>0.0</v>
      </c>
    </row>
    <row r="274">
      <c r="A274" s="10">
        <v>272.0</v>
      </c>
      <c r="B274" s="6" t="s">
        <v>553</v>
      </c>
      <c r="C274" s="7"/>
      <c r="D274" s="7"/>
      <c r="E274" s="8">
        <v>272.0</v>
      </c>
      <c r="F274" s="8">
        <v>0.0</v>
      </c>
      <c r="G274" s="8">
        <v>0.0</v>
      </c>
      <c r="H274" s="8">
        <v>0.0</v>
      </c>
      <c r="I274" s="8">
        <v>0.0</v>
      </c>
      <c r="J274" s="8">
        <v>0.0</v>
      </c>
      <c r="K274" s="8">
        <v>0.0</v>
      </c>
    </row>
    <row r="275">
      <c r="A275" s="10">
        <v>273.0</v>
      </c>
      <c r="B275" s="6" t="s">
        <v>554</v>
      </c>
      <c r="C275" s="7"/>
      <c r="D275" s="7"/>
      <c r="E275" s="8">
        <v>273.0</v>
      </c>
      <c r="F275" s="9" t="str">
        <f t="array" ref="F275:K286">"input[17][" &amp; (COLUMN(A1:F1)-COLUMN(A1) + 2*(ROW(O4:O15)-ROW(O4))) &amp; "]"</f>
        <v>input[17][0]</v>
      </c>
      <c r="G275" s="9" t="s">
        <v>807</v>
      </c>
      <c r="H275" s="9" t="s">
        <v>808</v>
      </c>
      <c r="I275" s="9" t="s">
        <v>809</v>
      </c>
      <c r="J275" s="9" t="s">
        <v>810</v>
      </c>
      <c r="K275" s="9" t="s">
        <v>811</v>
      </c>
    </row>
    <row r="276">
      <c r="A276" s="10">
        <v>274.0</v>
      </c>
      <c r="B276" s="6" t="s">
        <v>557</v>
      </c>
      <c r="C276" s="7"/>
      <c r="D276" s="7"/>
      <c r="E276" s="8">
        <v>274.0</v>
      </c>
      <c r="F276" s="9" t="s">
        <v>808</v>
      </c>
      <c r="G276" s="9" t="s">
        <v>809</v>
      </c>
      <c r="H276" s="9" t="s">
        <v>810</v>
      </c>
      <c r="I276" s="9" t="s">
        <v>811</v>
      </c>
      <c r="J276" s="9" t="s">
        <v>812</v>
      </c>
      <c r="K276" s="9" t="s">
        <v>813</v>
      </c>
    </row>
    <row r="277">
      <c r="A277" s="10">
        <v>275.0</v>
      </c>
      <c r="B277" s="6" t="s">
        <v>558</v>
      </c>
      <c r="C277" s="7"/>
      <c r="D277" s="7"/>
      <c r="E277" s="8">
        <v>275.0</v>
      </c>
      <c r="F277" s="9" t="s">
        <v>810</v>
      </c>
      <c r="G277" s="9" t="s">
        <v>811</v>
      </c>
      <c r="H277" s="9" t="s">
        <v>812</v>
      </c>
      <c r="I277" s="9" t="s">
        <v>813</v>
      </c>
      <c r="J277" s="9" t="s">
        <v>814</v>
      </c>
      <c r="K277" s="9" t="s">
        <v>815</v>
      </c>
    </row>
    <row r="278">
      <c r="A278" s="10">
        <v>276.0</v>
      </c>
      <c r="B278" s="6" t="s">
        <v>561</v>
      </c>
      <c r="C278" s="7"/>
      <c r="D278" s="7"/>
      <c r="E278" s="8">
        <v>276.0</v>
      </c>
      <c r="F278" s="9" t="s">
        <v>812</v>
      </c>
      <c r="G278" s="9" t="s">
        <v>813</v>
      </c>
      <c r="H278" s="9" t="s">
        <v>814</v>
      </c>
      <c r="I278" s="9" t="s">
        <v>815</v>
      </c>
      <c r="J278" s="9" t="s">
        <v>816</v>
      </c>
      <c r="K278" s="9" t="s">
        <v>817</v>
      </c>
    </row>
    <row r="279">
      <c r="A279" s="10">
        <v>277.0</v>
      </c>
      <c r="B279" s="6" t="s">
        <v>562</v>
      </c>
      <c r="C279" s="7"/>
      <c r="D279" s="7"/>
      <c r="E279" s="8">
        <v>277.0</v>
      </c>
      <c r="F279" s="9" t="s">
        <v>814</v>
      </c>
      <c r="G279" s="9" t="s">
        <v>815</v>
      </c>
      <c r="H279" s="9" t="s">
        <v>816</v>
      </c>
      <c r="I279" s="9" t="s">
        <v>817</v>
      </c>
      <c r="J279" s="9" t="s">
        <v>818</v>
      </c>
      <c r="K279" s="9" t="s">
        <v>819</v>
      </c>
    </row>
    <row r="280">
      <c r="A280" s="10">
        <v>278.0</v>
      </c>
      <c r="B280" s="6" t="s">
        <v>565</v>
      </c>
      <c r="C280" s="7"/>
      <c r="D280" s="7"/>
      <c r="E280" s="8">
        <v>278.0</v>
      </c>
      <c r="F280" s="9" t="s">
        <v>816</v>
      </c>
      <c r="G280" s="9" t="s">
        <v>817</v>
      </c>
      <c r="H280" s="9" t="s">
        <v>818</v>
      </c>
      <c r="I280" s="9" t="s">
        <v>819</v>
      </c>
      <c r="J280" s="9" t="s">
        <v>820</v>
      </c>
      <c r="K280" s="9" t="s">
        <v>821</v>
      </c>
    </row>
    <row r="281">
      <c r="A281" s="10">
        <v>279.0</v>
      </c>
      <c r="B281" s="6" t="s">
        <v>566</v>
      </c>
      <c r="C281" s="7"/>
      <c r="D281" s="7"/>
      <c r="E281" s="8">
        <v>279.0</v>
      </c>
      <c r="F281" s="9" t="s">
        <v>818</v>
      </c>
      <c r="G281" s="9" t="s">
        <v>819</v>
      </c>
      <c r="H281" s="9" t="s">
        <v>820</v>
      </c>
      <c r="I281" s="9" t="s">
        <v>821</v>
      </c>
      <c r="J281" s="9" t="s">
        <v>822</v>
      </c>
      <c r="K281" s="9" t="s">
        <v>823</v>
      </c>
    </row>
    <row r="282">
      <c r="A282" s="10">
        <v>280.0</v>
      </c>
      <c r="B282" s="6" t="s">
        <v>569</v>
      </c>
      <c r="C282" s="7"/>
      <c r="D282" s="7"/>
      <c r="E282" s="8">
        <v>280.0</v>
      </c>
      <c r="F282" s="9" t="s">
        <v>820</v>
      </c>
      <c r="G282" s="9" t="s">
        <v>821</v>
      </c>
      <c r="H282" s="9" t="s">
        <v>822</v>
      </c>
      <c r="I282" s="9" t="s">
        <v>823</v>
      </c>
      <c r="J282" s="9" t="s">
        <v>824</v>
      </c>
      <c r="K282" s="9" t="s">
        <v>825</v>
      </c>
    </row>
    <row r="283">
      <c r="A283" s="10">
        <v>281.0</v>
      </c>
      <c r="B283" s="6" t="s">
        <v>570</v>
      </c>
      <c r="C283" s="7"/>
      <c r="D283" s="7"/>
      <c r="E283" s="8">
        <v>281.0</v>
      </c>
      <c r="F283" s="9" t="s">
        <v>822</v>
      </c>
      <c r="G283" s="9" t="s">
        <v>823</v>
      </c>
      <c r="H283" s="9" t="s">
        <v>824</v>
      </c>
      <c r="I283" s="9" t="s">
        <v>825</v>
      </c>
      <c r="J283" s="9" t="s">
        <v>826</v>
      </c>
      <c r="K283" s="9" t="s">
        <v>827</v>
      </c>
    </row>
    <row r="284">
      <c r="A284" s="10">
        <v>282.0</v>
      </c>
      <c r="B284" s="6" t="s">
        <v>573</v>
      </c>
      <c r="C284" s="7"/>
      <c r="D284" s="7"/>
      <c r="E284" s="8">
        <v>282.0</v>
      </c>
      <c r="F284" s="9" t="s">
        <v>824</v>
      </c>
      <c r="G284" s="9" t="s">
        <v>825</v>
      </c>
      <c r="H284" s="9" t="s">
        <v>826</v>
      </c>
      <c r="I284" s="9" t="s">
        <v>827</v>
      </c>
      <c r="J284" s="9" t="s">
        <v>828</v>
      </c>
      <c r="K284" s="9" t="s">
        <v>829</v>
      </c>
    </row>
    <row r="285">
      <c r="A285" s="10">
        <v>283.0</v>
      </c>
      <c r="B285" s="6" t="s">
        <v>574</v>
      </c>
      <c r="C285" s="7"/>
      <c r="D285" s="7"/>
      <c r="E285" s="8">
        <v>283.0</v>
      </c>
      <c r="F285" s="9" t="s">
        <v>826</v>
      </c>
      <c r="G285" s="9" t="s">
        <v>827</v>
      </c>
      <c r="H285" s="9" t="s">
        <v>828</v>
      </c>
      <c r="I285" s="9" t="s">
        <v>829</v>
      </c>
      <c r="J285" s="9" t="s">
        <v>830</v>
      </c>
      <c r="K285" s="9" t="s">
        <v>831</v>
      </c>
    </row>
    <row r="286">
      <c r="A286" s="10">
        <v>284.0</v>
      </c>
      <c r="C286" s="7"/>
      <c r="D286" s="7"/>
      <c r="E286" s="8">
        <v>284.0</v>
      </c>
      <c r="F286" s="9" t="s">
        <v>828</v>
      </c>
      <c r="G286" s="9" t="s">
        <v>829</v>
      </c>
      <c r="H286" s="9" t="s">
        <v>830</v>
      </c>
      <c r="I286" s="9" t="s">
        <v>831</v>
      </c>
      <c r="J286" s="9" t="s">
        <v>832</v>
      </c>
      <c r="K286" s="9" t="s">
        <v>833</v>
      </c>
    </row>
    <row r="287">
      <c r="A287" s="10">
        <v>285.0</v>
      </c>
      <c r="C287" s="7"/>
      <c r="D287" s="7"/>
      <c r="E287" s="8">
        <v>285.0</v>
      </c>
      <c r="F287" s="8">
        <v>0.0</v>
      </c>
      <c r="G287" s="8">
        <v>0.0</v>
      </c>
      <c r="H287" s="8">
        <v>0.0</v>
      </c>
      <c r="I287" s="8">
        <v>0.0</v>
      </c>
      <c r="J287" s="8">
        <v>0.0</v>
      </c>
      <c r="K287" s="8">
        <v>0.0</v>
      </c>
    </row>
    <row r="288">
      <c r="A288" s="10">
        <v>286.0</v>
      </c>
      <c r="C288" s="7"/>
      <c r="D288" s="7"/>
      <c r="E288" s="8">
        <v>286.0</v>
      </c>
      <c r="F288" s="8">
        <v>0.0</v>
      </c>
      <c r="G288" s="8">
        <v>0.0</v>
      </c>
      <c r="H288" s="8">
        <v>0.0</v>
      </c>
      <c r="I288" s="8">
        <v>0.0</v>
      </c>
      <c r="J288" s="8">
        <v>0.0</v>
      </c>
      <c r="K288" s="8">
        <v>0.0</v>
      </c>
    </row>
    <row r="289">
      <c r="A289" s="10">
        <v>287.0</v>
      </c>
      <c r="C289" s="7"/>
      <c r="D289" s="7"/>
      <c r="E289" s="8">
        <v>287.0</v>
      </c>
      <c r="F289" s="8">
        <v>0.0</v>
      </c>
      <c r="G289" s="8">
        <v>0.0</v>
      </c>
      <c r="H289" s="8">
        <v>0.0</v>
      </c>
      <c r="I289" s="8">
        <v>0.0</v>
      </c>
      <c r="J289" s="8">
        <v>0.0</v>
      </c>
      <c r="K289" s="8">
        <v>0.0</v>
      </c>
    </row>
    <row r="290">
      <c r="A290" s="10">
        <v>288.0</v>
      </c>
      <c r="B290" s="6" t="s">
        <v>834</v>
      </c>
      <c r="C290" s="7"/>
      <c r="D290" s="7"/>
      <c r="E290" s="8">
        <v>288.0</v>
      </c>
      <c r="F290" s="8">
        <v>0.0</v>
      </c>
      <c r="G290" s="8">
        <v>0.0</v>
      </c>
      <c r="H290" s="8">
        <v>0.0</v>
      </c>
      <c r="I290" s="8">
        <v>0.0</v>
      </c>
      <c r="J290" s="8">
        <v>0.0</v>
      </c>
      <c r="K290" s="8">
        <v>0.0</v>
      </c>
    </row>
    <row r="291">
      <c r="A291" s="10">
        <v>289.0</v>
      </c>
      <c r="B291" s="6" t="s">
        <v>585</v>
      </c>
      <c r="C291" s="7"/>
      <c r="D291" s="7"/>
      <c r="E291" s="8">
        <v>289.0</v>
      </c>
      <c r="F291" s="9" t="str">
        <f t="array" ref="F291:K302">"input[18][" &amp; (COLUMN(A1:F1)-COLUMN(A1) + 2*(ROW(O4:O15)-ROW(O4))) &amp; "]"</f>
        <v>input[18][0]</v>
      </c>
      <c r="G291" s="9" t="s">
        <v>835</v>
      </c>
      <c r="H291" s="9" t="s">
        <v>836</v>
      </c>
      <c r="I291" s="9" t="s">
        <v>837</v>
      </c>
      <c r="J291" s="9" t="s">
        <v>838</v>
      </c>
      <c r="K291" s="9" t="s">
        <v>839</v>
      </c>
    </row>
    <row r="292">
      <c r="A292" s="10">
        <v>290.0</v>
      </c>
      <c r="B292" s="6" t="s">
        <v>586</v>
      </c>
      <c r="C292" s="7"/>
      <c r="D292" s="7"/>
      <c r="E292" s="8">
        <v>290.0</v>
      </c>
      <c r="F292" s="9" t="s">
        <v>836</v>
      </c>
      <c r="G292" s="9" t="s">
        <v>837</v>
      </c>
      <c r="H292" s="9" t="s">
        <v>838</v>
      </c>
      <c r="I292" s="9" t="s">
        <v>839</v>
      </c>
      <c r="J292" s="9" t="s">
        <v>840</v>
      </c>
      <c r="K292" s="9" t="s">
        <v>841</v>
      </c>
    </row>
    <row r="293">
      <c r="A293" s="10">
        <v>291.0</v>
      </c>
      <c r="B293" s="6" t="s">
        <v>587</v>
      </c>
      <c r="C293" s="7"/>
      <c r="D293" s="7"/>
      <c r="E293" s="8">
        <v>291.0</v>
      </c>
      <c r="F293" s="9" t="s">
        <v>838</v>
      </c>
      <c r="G293" s="9" t="s">
        <v>839</v>
      </c>
      <c r="H293" s="9" t="s">
        <v>840</v>
      </c>
      <c r="I293" s="9" t="s">
        <v>841</v>
      </c>
      <c r="J293" s="9" t="s">
        <v>842</v>
      </c>
      <c r="K293" s="9" t="s">
        <v>843</v>
      </c>
    </row>
    <row r="294">
      <c r="A294" s="10">
        <v>292.0</v>
      </c>
      <c r="B294" s="6" t="s">
        <v>588</v>
      </c>
      <c r="C294" s="7"/>
      <c r="D294" s="7"/>
      <c r="E294" s="8">
        <v>292.0</v>
      </c>
      <c r="F294" s="9" t="s">
        <v>840</v>
      </c>
      <c r="G294" s="9" t="s">
        <v>841</v>
      </c>
      <c r="H294" s="9" t="s">
        <v>842</v>
      </c>
      <c r="I294" s="9" t="s">
        <v>843</v>
      </c>
      <c r="J294" s="9" t="s">
        <v>844</v>
      </c>
      <c r="K294" s="9" t="s">
        <v>845</v>
      </c>
    </row>
    <row r="295">
      <c r="A295" s="10">
        <v>293.0</v>
      </c>
      <c r="B295" s="6" t="s">
        <v>589</v>
      </c>
      <c r="C295" s="7"/>
      <c r="D295" s="7"/>
      <c r="E295" s="8">
        <v>293.0</v>
      </c>
      <c r="F295" s="9" t="s">
        <v>842</v>
      </c>
      <c r="G295" s="9" t="s">
        <v>843</v>
      </c>
      <c r="H295" s="9" t="s">
        <v>844</v>
      </c>
      <c r="I295" s="9" t="s">
        <v>845</v>
      </c>
      <c r="J295" s="9" t="s">
        <v>846</v>
      </c>
      <c r="K295" s="9" t="s">
        <v>847</v>
      </c>
    </row>
    <row r="296">
      <c r="A296" s="10">
        <v>294.0</v>
      </c>
      <c r="B296" s="6" t="s">
        <v>592</v>
      </c>
      <c r="C296" s="7"/>
      <c r="D296" s="7"/>
      <c r="E296" s="8">
        <v>294.0</v>
      </c>
      <c r="F296" s="9" t="s">
        <v>844</v>
      </c>
      <c r="G296" s="9" t="s">
        <v>845</v>
      </c>
      <c r="H296" s="9" t="s">
        <v>846</v>
      </c>
      <c r="I296" s="9" t="s">
        <v>847</v>
      </c>
      <c r="J296" s="9" t="s">
        <v>848</v>
      </c>
      <c r="K296" s="9" t="s">
        <v>849</v>
      </c>
    </row>
    <row r="297">
      <c r="A297" s="10">
        <v>295.0</v>
      </c>
      <c r="B297" s="6" t="s">
        <v>593</v>
      </c>
      <c r="C297" s="7"/>
      <c r="D297" s="7"/>
      <c r="E297" s="8">
        <v>295.0</v>
      </c>
      <c r="F297" s="9" t="s">
        <v>846</v>
      </c>
      <c r="G297" s="9" t="s">
        <v>847</v>
      </c>
      <c r="H297" s="9" t="s">
        <v>848</v>
      </c>
      <c r="I297" s="9" t="s">
        <v>849</v>
      </c>
      <c r="J297" s="9" t="s">
        <v>850</v>
      </c>
      <c r="K297" s="9" t="s">
        <v>851</v>
      </c>
    </row>
    <row r="298">
      <c r="A298" s="10">
        <v>296.0</v>
      </c>
      <c r="B298" s="6" t="s">
        <v>594</v>
      </c>
      <c r="C298" s="7"/>
      <c r="D298" s="7"/>
      <c r="E298" s="8">
        <v>296.0</v>
      </c>
      <c r="F298" s="9" t="s">
        <v>848</v>
      </c>
      <c r="G298" s="9" t="s">
        <v>849</v>
      </c>
      <c r="H298" s="9" t="s">
        <v>850</v>
      </c>
      <c r="I298" s="9" t="s">
        <v>851</v>
      </c>
      <c r="J298" s="9" t="s">
        <v>852</v>
      </c>
      <c r="K298" s="9" t="s">
        <v>853</v>
      </c>
    </row>
    <row r="299">
      <c r="A299" s="10">
        <v>297.0</v>
      </c>
      <c r="B299" s="6" t="s">
        <v>595</v>
      </c>
      <c r="C299" s="7"/>
      <c r="D299" s="7"/>
      <c r="E299" s="8">
        <v>297.0</v>
      </c>
      <c r="F299" s="9" t="s">
        <v>850</v>
      </c>
      <c r="G299" s="9" t="s">
        <v>851</v>
      </c>
      <c r="H299" s="9" t="s">
        <v>852</v>
      </c>
      <c r="I299" s="9" t="s">
        <v>853</v>
      </c>
      <c r="J299" s="9" t="s">
        <v>854</v>
      </c>
      <c r="K299" s="9" t="s">
        <v>855</v>
      </c>
    </row>
    <row r="300">
      <c r="A300" s="10">
        <v>298.0</v>
      </c>
      <c r="B300" s="6" t="s">
        <v>596</v>
      </c>
      <c r="C300" s="7"/>
      <c r="D300" s="7"/>
      <c r="E300" s="8">
        <v>298.0</v>
      </c>
      <c r="F300" s="9" t="s">
        <v>852</v>
      </c>
      <c r="G300" s="9" t="s">
        <v>853</v>
      </c>
      <c r="H300" s="9" t="s">
        <v>854</v>
      </c>
      <c r="I300" s="9" t="s">
        <v>855</v>
      </c>
      <c r="J300" s="9" t="s">
        <v>856</v>
      </c>
      <c r="K300" s="9" t="s">
        <v>857</v>
      </c>
    </row>
    <row r="301">
      <c r="A301" s="10">
        <v>299.0</v>
      </c>
      <c r="B301" s="6" t="s">
        <v>597</v>
      </c>
      <c r="C301" s="7"/>
      <c r="D301" s="7"/>
      <c r="E301" s="8">
        <v>299.0</v>
      </c>
      <c r="F301" s="9" t="s">
        <v>854</v>
      </c>
      <c r="G301" s="9" t="s">
        <v>855</v>
      </c>
      <c r="H301" s="9" t="s">
        <v>856</v>
      </c>
      <c r="I301" s="9" t="s">
        <v>857</v>
      </c>
      <c r="J301" s="9" t="s">
        <v>858</v>
      </c>
      <c r="K301" s="9" t="s">
        <v>859</v>
      </c>
    </row>
    <row r="302">
      <c r="A302" s="10">
        <v>300.0</v>
      </c>
      <c r="B302" s="6" t="s">
        <v>598</v>
      </c>
      <c r="C302" s="7"/>
      <c r="D302" s="7"/>
      <c r="E302" s="8">
        <v>300.0</v>
      </c>
      <c r="F302" s="9" t="s">
        <v>856</v>
      </c>
      <c r="G302" s="9" t="s">
        <v>857</v>
      </c>
      <c r="H302" s="9" t="s">
        <v>858</v>
      </c>
      <c r="I302" s="9" t="s">
        <v>859</v>
      </c>
      <c r="J302" s="9" t="s">
        <v>860</v>
      </c>
      <c r="K302" s="9" t="s">
        <v>861</v>
      </c>
    </row>
    <row r="303">
      <c r="A303" s="10">
        <v>301.0</v>
      </c>
      <c r="B303" s="6" t="s">
        <v>599</v>
      </c>
      <c r="C303" s="7"/>
      <c r="D303" s="7"/>
      <c r="E303" s="8">
        <v>301.0</v>
      </c>
      <c r="F303" s="8">
        <v>0.0</v>
      </c>
      <c r="G303" s="8">
        <v>0.0</v>
      </c>
      <c r="H303" s="8">
        <v>0.0</v>
      </c>
      <c r="I303" s="8">
        <v>0.0</v>
      </c>
      <c r="J303" s="8">
        <v>0.0</v>
      </c>
      <c r="K303" s="8">
        <v>0.0</v>
      </c>
    </row>
    <row r="304">
      <c r="A304" s="10">
        <v>302.0</v>
      </c>
      <c r="B304" s="6" t="s">
        <v>600</v>
      </c>
      <c r="C304" s="7"/>
      <c r="D304" s="7"/>
      <c r="E304" s="8">
        <v>302.0</v>
      </c>
      <c r="F304" s="8">
        <v>0.0</v>
      </c>
      <c r="G304" s="8">
        <v>0.0</v>
      </c>
      <c r="H304" s="8">
        <v>0.0</v>
      </c>
      <c r="I304" s="8">
        <v>0.0</v>
      </c>
      <c r="J304" s="8">
        <v>0.0</v>
      </c>
      <c r="K304" s="8">
        <v>0.0</v>
      </c>
    </row>
    <row r="305">
      <c r="A305" s="10">
        <v>303.0</v>
      </c>
      <c r="B305" s="6" t="s">
        <v>601</v>
      </c>
      <c r="C305" s="7"/>
      <c r="D305" s="7"/>
      <c r="E305" s="8">
        <v>303.0</v>
      </c>
      <c r="F305" s="8">
        <v>0.0</v>
      </c>
      <c r="G305" s="8">
        <v>0.0</v>
      </c>
      <c r="H305" s="8">
        <v>0.0</v>
      </c>
      <c r="I305" s="8">
        <v>0.0</v>
      </c>
      <c r="J305" s="8">
        <v>0.0</v>
      </c>
      <c r="K305" s="8">
        <v>0.0</v>
      </c>
    </row>
    <row r="306">
      <c r="A306" s="10">
        <v>304.0</v>
      </c>
      <c r="B306" s="6" t="s">
        <v>602</v>
      </c>
      <c r="C306" s="7"/>
      <c r="D306" s="7"/>
      <c r="E306" s="8">
        <v>304.0</v>
      </c>
      <c r="F306" s="8">
        <v>0.0</v>
      </c>
      <c r="G306" s="8">
        <v>0.0</v>
      </c>
      <c r="H306" s="8">
        <v>0.0</v>
      </c>
      <c r="I306" s="8">
        <v>0.0</v>
      </c>
      <c r="J306" s="8">
        <v>0.0</v>
      </c>
      <c r="K306" s="8">
        <v>0.0</v>
      </c>
    </row>
    <row r="307">
      <c r="A307" s="10">
        <v>305.0</v>
      </c>
      <c r="B307" s="6" t="s">
        <v>603</v>
      </c>
      <c r="C307" s="7"/>
      <c r="D307" s="7"/>
      <c r="E307" s="8">
        <v>305.0</v>
      </c>
      <c r="F307" s="9" t="str">
        <f t="array" ref="F307:K318">"input[19][" &amp; (COLUMN(A1:F1)-COLUMN(A1) + 2*(ROW(O4:O15)-ROW(O4))) &amp; "]"</f>
        <v>input[19][0]</v>
      </c>
      <c r="G307" s="9" t="s">
        <v>862</v>
      </c>
      <c r="H307" s="9" t="s">
        <v>863</v>
      </c>
      <c r="I307" s="9" t="s">
        <v>864</v>
      </c>
      <c r="J307" s="9" t="s">
        <v>865</v>
      </c>
      <c r="K307" s="9" t="s">
        <v>866</v>
      </c>
    </row>
    <row r="308">
      <c r="A308" s="10">
        <v>306.0</v>
      </c>
      <c r="B308" s="6" t="s">
        <v>604</v>
      </c>
      <c r="C308" s="7"/>
      <c r="D308" s="7"/>
      <c r="E308" s="8">
        <v>306.0</v>
      </c>
      <c r="F308" s="9" t="s">
        <v>863</v>
      </c>
      <c r="G308" s="9" t="s">
        <v>864</v>
      </c>
      <c r="H308" s="9" t="s">
        <v>865</v>
      </c>
      <c r="I308" s="9" t="s">
        <v>866</v>
      </c>
      <c r="J308" s="9" t="s">
        <v>867</v>
      </c>
      <c r="K308" s="9" t="s">
        <v>868</v>
      </c>
    </row>
    <row r="309">
      <c r="A309" s="10">
        <v>307.0</v>
      </c>
      <c r="B309" s="6" t="s">
        <v>605</v>
      </c>
      <c r="C309" s="7"/>
      <c r="D309" s="7"/>
      <c r="E309" s="8">
        <v>307.0</v>
      </c>
      <c r="F309" s="9" t="s">
        <v>865</v>
      </c>
      <c r="G309" s="9" t="s">
        <v>866</v>
      </c>
      <c r="H309" s="9" t="s">
        <v>867</v>
      </c>
      <c r="I309" s="9" t="s">
        <v>868</v>
      </c>
      <c r="J309" s="9" t="s">
        <v>869</v>
      </c>
      <c r="K309" s="9" t="s">
        <v>870</v>
      </c>
    </row>
    <row r="310">
      <c r="A310" s="10">
        <v>308.0</v>
      </c>
      <c r="B310" s="6" t="s">
        <v>606</v>
      </c>
      <c r="C310" s="7"/>
      <c r="D310" s="7"/>
      <c r="E310" s="8">
        <v>308.0</v>
      </c>
      <c r="F310" s="9" t="s">
        <v>867</v>
      </c>
      <c r="G310" s="9" t="s">
        <v>868</v>
      </c>
      <c r="H310" s="9" t="s">
        <v>869</v>
      </c>
      <c r="I310" s="9" t="s">
        <v>870</v>
      </c>
      <c r="J310" s="9" t="s">
        <v>871</v>
      </c>
      <c r="K310" s="9" t="s">
        <v>872</v>
      </c>
    </row>
    <row r="311">
      <c r="A311" s="10">
        <v>309.0</v>
      </c>
      <c r="B311" s="6" t="s">
        <v>607</v>
      </c>
      <c r="C311" s="7"/>
      <c r="D311" s="7"/>
      <c r="E311" s="8">
        <v>309.0</v>
      </c>
      <c r="F311" s="9" t="s">
        <v>869</v>
      </c>
      <c r="G311" s="9" t="s">
        <v>870</v>
      </c>
      <c r="H311" s="9" t="s">
        <v>871</v>
      </c>
      <c r="I311" s="9" t="s">
        <v>872</v>
      </c>
      <c r="J311" s="9" t="s">
        <v>873</v>
      </c>
      <c r="K311" s="9" t="s">
        <v>874</v>
      </c>
    </row>
    <row r="312">
      <c r="A312" s="10">
        <v>310.0</v>
      </c>
      <c r="B312" s="6" t="s">
        <v>608</v>
      </c>
      <c r="C312" s="7"/>
      <c r="D312" s="7"/>
      <c r="E312" s="8">
        <v>310.0</v>
      </c>
      <c r="F312" s="9" t="s">
        <v>871</v>
      </c>
      <c r="G312" s="9" t="s">
        <v>872</v>
      </c>
      <c r="H312" s="9" t="s">
        <v>873</v>
      </c>
      <c r="I312" s="9" t="s">
        <v>874</v>
      </c>
      <c r="J312" s="9" t="s">
        <v>875</v>
      </c>
      <c r="K312" s="9" t="s">
        <v>876</v>
      </c>
    </row>
    <row r="313">
      <c r="A313" s="10">
        <v>311.0</v>
      </c>
      <c r="B313" s="6" t="s">
        <v>609</v>
      </c>
      <c r="C313" s="7"/>
      <c r="D313" s="7"/>
      <c r="E313" s="8">
        <v>311.0</v>
      </c>
      <c r="F313" s="9" t="s">
        <v>873</v>
      </c>
      <c r="G313" s="9" t="s">
        <v>874</v>
      </c>
      <c r="H313" s="9" t="s">
        <v>875</v>
      </c>
      <c r="I313" s="9" t="s">
        <v>876</v>
      </c>
      <c r="J313" s="9" t="s">
        <v>877</v>
      </c>
      <c r="K313" s="9" t="s">
        <v>878</v>
      </c>
    </row>
    <row r="314">
      <c r="A314" s="10">
        <v>312.0</v>
      </c>
      <c r="B314" s="6" t="s">
        <v>610</v>
      </c>
      <c r="C314" s="7"/>
      <c r="D314" s="7"/>
      <c r="E314" s="8">
        <v>312.0</v>
      </c>
      <c r="F314" s="9" t="s">
        <v>875</v>
      </c>
      <c r="G314" s="9" t="s">
        <v>876</v>
      </c>
      <c r="H314" s="9" t="s">
        <v>877</v>
      </c>
      <c r="I314" s="9" t="s">
        <v>878</v>
      </c>
      <c r="J314" s="9" t="s">
        <v>879</v>
      </c>
      <c r="K314" s="9" t="s">
        <v>880</v>
      </c>
    </row>
    <row r="315">
      <c r="A315" s="10">
        <v>313.0</v>
      </c>
      <c r="B315" s="6" t="s">
        <v>611</v>
      </c>
      <c r="C315" s="7"/>
      <c r="D315" s="7"/>
      <c r="E315" s="8">
        <v>313.0</v>
      </c>
      <c r="F315" s="9" t="s">
        <v>877</v>
      </c>
      <c r="G315" s="9" t="s">
        <v>878</v>
      </c>
      <c r="H315" s="9" t="s">
        <v>879</v>
      </c>
      <c r="I315" s="9" t="s">
        <v>880</v>
      </c>
      <c r="J315" s="9" t="s">
        <v>881</v>
      </c>
      <c r="K315" s="9" t="s">
        <v>882</v>
      </c>
    </row>
    <row r="316">
      <c r="A316" s="10">
        <v>314.0</v>
      </c>
      <c r="B316" s="6" t="s">
        <v>612</v>
      </c>
      <c r="C316" s="7"/>
      <c r="D316" s="7"/>
      <c r="E316" s="8">
        <v>314.0</v>
      </c>
      <c r="F316" s="9" t="s">
        <v>879</v>
      </c>
      <c r="G316" s="9" t="s">
        <v>880</v>
      </c>
      <c r="H316" s="9" t="s">
        <v>881</v>
      </c>
      <c r="I316" s="9" t="s">
        <v>882</v>
      </c>
      <c r="J316" s="9" t="s">
        <v>883</v>
      </c>
      <c r="K316" s="9" t="s">
        <v>884</v>
      </c>
    </row>
    <row r="317">
      <c r="A317" s="10">
        <v>315.0</v>
      </c>
      <c r="B317" s="6" t="s">
        <v>613</v>
      </c>
      <c r="C317" s="7"/>
      <c r="D317" s="7"/>
      <c r="E317" s="8">
        <v>315.0</v>
      </c>
      <c r="F317" s="9" t="s">
        <v>881</v>
      </c>
      <c r="G317" s="9" t="s">
        <v>882</v>
      </c>
      <c r="H317" s="9" t="s">
        <v>883</v>
      </c>
      <c r="I317" s="9" t="s">
        <v>884</v>
      </c>
      <c r="J317" s="9" t="s">
        <v>885</v>
      </c>
      <c r="K317" s="9" t="s">
        <v>886</v>
      </c>
    </row>
    <row r="318">
      <c r="A318" s="10">
        <v>316.0</v>
      </c>
      <c r="C318" s="7"/>
      <c r="D318" s="7"/>
      <c r="E318" s="8">
        <v>316.0</v>
      </c>
      <c r="F318" s="9" t="s">
        <v>883</v>
      </c>
      <c r="G318" s="9" t="s">
        <v>884</v>
      </c>
      <c r="H318" s="9" t="s">
        <v>885</v>
      </c>
      <c r="I318" s="9" t="s">
        <v>886</v>
      </c>
      <c r="J318" s="9" t="s">
        <v>887</v>
      </c>
      <c r="K318" s="9" t="s">
        <v>888</v>
      </c>
    </row>
    <row r="319">
      <c r="A319" s="10">
        <v>317.0</v>
      </c>
      <c r="C319" s="7"/>
      <c r="D319" s="7"/>
      <c r="E319" s="8">
        <v>317.0</v>
      </c>
      <c r="F319" s="8">
        <v>0.0</v>
      </c>
      <c r="G319" s="8">
        <v>0.0</v>
      </c>
      <c r="H319" s="8">
        <v>0.0</v>
      </c>
      <c r="I319" s="8">
        <v>0.0</v>
      </c>
      <c r="J319" s="8">
        <v>0.0</v>
      </c>
      <c r="K319" s="8">
        <v>0.0</v>
      </c>
    </row>
    <row r="320">
      <c r="A320" s="10">
        <v>318.0</v>
      </c>
      <c r="C320" s="7"/>
      <c r="D320" s="7"/>
      <c r="E320" s="8">
        <v>318.0</v>
      </c>
      <c r="F320" s="8">
        <v>0.0</v>
      </c>
      <c r="G320" s="8">
        <v>0.0</v>
      </c>
      <c r="H320" s="8">
        <v>0.0</v>
      </c>
      <c r="I320" s="8">
        <v>0.0</v>
      </c>
      <c r="J320" s="8">
        <v>0.0</v>
      </c>
      <c r="K320" s="8">
        <v>0.0</v>
      </c>
    </row>
    <row r="321">
      <c r="A321" s="10">
        <v>319.0</v>
      </c>
      <c r="C321" s="7"/>
      <c r="D321" s="7"/>
      <c r="E321" s="8">
        <v>319.0</v>
      </c>
      <c r="F321" s="8">
        <v>0.0</v>
      </c>
      <c r="G321" s="8">
        <v>0.0</v>
      </c>
      <c r="H321" s="8">
        <v>0.0</v>
      </c>
      <c r="I321" s="8">
        <v>0.0</v>
      </c>
      <c r="J321" s="8">
        <v>0.0</v>
      </c>
      <c r="K321" s="8">
        <v>0.0</v>
      </c>
    </row>
    <row r="322">
      <c r="A322" s="10">
        <v>320.0</v>
      </c>
      <c r="B322" s="6" t="s">
        <v>889</v>
      </c>
      <c r="C322" s="7"/>
      <c r="D322" s="7"/>
      <c r="E322" s="8">
        <v>320.0</v>
      </c>
      <c r="F322" s="8">
        <v>0.0</v>
      </c>
      <c r="G322" s="8">
        <v>0.0</v>
      </c>
      <c r="H322" s="8">
        <v>0.0</v>
      </c>
      <c r="I322" s="8">
        <v>0.0</v>
      </c>
      <c r="J322" s="8">
        <v>0.0</v>
      </c>
      <c r="K322" s="8">
        <v>0.0</v>
      </c>
    </row>
    <row r="323">
      <c r="A323" s="10">
        <v>321.0</v>
      </c>
      <c r="B323" s="6" t="s">
        <v>615</v>
      </c>
      <c r="C323" s="7"/>
      <c r="D323" s="7"/>
      <c r="E323" s="8">
        <v>321.0</v>
      </c>
      <c r="F323" s="9" t="str">
        <f t="array" ref="F323:K334">"input[20][" &amp; (COLUMN(A1:F1)-COLUMN(A1) + 2*(ROW(O4:O15)-ROW(O4))) &amp; "]"</f>
        <v>input[20][0]</v>
      </c>
      <c r="G323" s="9" t="s">
        <v>890</v>
      </c>
      <c r="H323" s="9" t="s">
        <v>891</v>
      </c>
      <c r="I323" s="9" t="s">
        <v>892</v>
      </c>
      <c r="J323" s="9" t="s">
        <v>893</v>
      </c>
      <c r="K323" s="9" t="s">
        <v>894</v>
      </c>
    </row>
    <row r="324">
      <c r="A324" s="10">
        <v>322.0</v>
      </c>
      <c r="B324" s="6" t="s">
        <v>616</v>
      </c>
      <c r="C324" s="7"/>
      <c r="D324" s="7"/>
      <c r="E324" s="8">
        <v>322.0</v>
      </c>
      <c r="F324" s="9" t="s">
        <v>891</v>
      </c>
      <c r="G324" s="9" t="s">
        <v>892</v>
      </c>
      <c r="H324" s="9" t="s">
        <v>893</v>
      </c>
      <c r="I324" s="9" t="s">
        <v>894</v>
      </c>
      <c r="J324" s="9" t="s">
        <v>895</v>
      </c>
      <c r="K324" s="9" t="s">
        <v>896</v>
      </c>
    </row>
    <row r="325">
      <c r="A325" s="10">
        <v>323.0</v>
      </c>
      <c r="B325" s="6" t="s">
        <v>617</v>
      </c>
      <c r="C325" s="7"/>
      <c r="D325" s="7"/>
      <c r="E325" s="8">
        <v>323.0</v>
      </c>
      <c r="F325" s="9" t="s">
        <v>893</v>
      </c>
      <c r="G325" s="9" t="s">
        <v>894</v>
      </c>
      <c r="H325" s="9" t="s">
        <v>895</v>
      </c>
      <c r="I325" s="9" t="s">
        <v>896</v>
      </c>
      <c r="J325" s="9" t="s">
        <v>897</v>
      </c>
      <c r="K325" s="9" t="s">
        <v>898</v>
      </c>
    </row>
    <row r="326">
      <c r="A326" s="10">
        <v>324.0</v>
      </c>
      <c r="B326" s="6" t="s">
        <v>618</v>
      </c>
      <c r="C326" s="7"/>
      <c r="D326" s="7"/>
      <c r="E326" s="8">
        <v>324.0</v>
      </c>
      <c r="F326" s="9" t="s">
        <v>895</v>
      </c>
      <c r="G326" s="9" t="s">
        <v>896</v>
      </c>
      <c r="H326" s="9" t="s">
        <v>897</v>
      </c>
      <c r="I326" s="9" t="s">
        <v>898</v>
      </c>
      <c r="J326" s="9" t="s">
        <v>899</v>
      </c>
      <c r="K326" s="9" t="s">
        <v>900</v>
      </c>
    </row>
    <row r="327">
      <c r="A327" s="10">
        <v>325.0</v>
      </c>
      <c r="B327" s="6" t="s">
        <v>619</v>
      </c>
      <c r="C327" s="7"/>
      <c r="D327" s="7"/>
      <c r="E327" s="8">
        <v>325.0</v>
      </c>
      <c r="F327" s="9" t="s">
        <v>897</v>
      </c>
      <c r="G327" s="9" t="s">
        <v>898</v>
      </c>
      <c r="H327" s="9" t="s">
        <v>899</v>
      </c>
      <c r="I327" s="9" t="s">
        <v>900</v>
      </c>
      <c r="J327" s="9" t="s">
        <v>901</v>
      </c>
      <c r="K327" s="9" t="s">
        <v>902</v>
      </c>
    </row>
    <row r="328">
      <c r="A328" s="10">
        <v>326.0</v>
      </c>
      <c r="B328" s="6" t="s">
        <v>620</v>
      </c>
      <c r="C328" s="7"/>
      <c r="D328" s="7"/>
      <c r="E328" s="8">
        <v>326.0</v>
      </c>
      <c r="F328" s="9" t="s">
        <v>899</v>
      </c>
      <c r="G328" s="9" t="s">
        <v>900</v>
      </c>
      <c r="H328" s="9" t="s">
        <v>901</v>
      </c>
      <c r="I328" s="9" t="s">
        <v>902</v>
      </c>
      <c r="J328" s="9" t="s">
        <v>903</v>
      </c>
      <c r="K328" s="9" t="s">
        <v>904</v>
      </c>
    </row>
    <row r="329">
      <c r="A329" s="10">
        <v>327.0</v>
      </c>
      <c r="B329" s="6" t="s">
        <v>621</v>
      </c>
      <c r="C329" s="7"/>
      <c r="D329" s="7"/>
      <c r="E329" s="8">
        <v>327.0</v>
      </c>
      <c r="F329" s="9" t="s">
        <v>901</v>
      </c>
      <c r="G329" s="9" t="s">
        <v>902</v>
      </c>
      <c r="H329" s="9" t="s">
        <v>903</v>
      </c>
      <c r="I329" s="9" t="s">
        <v>904</v>
      </c>
      <c r="J329" s="9" t="s">
        <v>905</v>
      </c>
      <c r="K329" s="9" t="s">
        <v>906</v>
      </c>
    </row>
    <row r="330">
      <c r="A330" s="10">
        <v>328.0</v>
      </c>
      <c r="B330" s="6" t="s">
        <v>622</v>
      </c>
      <c r="C330" s="7"/>
      <c r="D330" s="7"/>
      <c r="E330" s="8">
        <v>328.0</v>
      </c>
      <c r="F330" s="9" t="s">
        <v>903</v>
      </c>
      <c r="G330" s="9" t="s">
        <v>904</v>
      </c>
      <c r="H330" s="9" t="s">
        <v>905</v>
      </c>
      <c r="I330" s="9" t="s">
        <v>906</v>
      </c>
      <c r="J330" s="9" t="s">
        <v>907</v>
      </c>
      <c r="K330" s="9" t="s">
        <v>908</v>
      </c>
    </row>
    <row r="331">
      <c r="A331" s="10">
        <v>329.0</v>
      </c>
      <c r="B331" s="6" t="s">
        <v>623</v>
      </c>
      <c r="C331" s="7"/>
      <c r="D331" s="7"/>
      <c r="E331" s="8">
        <v>329.0</v>
      </c>
      <c r="F331" s="9" t="s">
        <v>905</v>
      </c>
      <c r="G331" s="9" t="s">
        <v>906</v>
      </c>
      <c r="H331" s="9" t="s">
        <v>907</v>
      </c>
      <c r="I331" s="9" t="s">
        <v>908</v>
      </c>
      <c r="J331" s="9" t="s">
        <v>909</v>
      </c>
      <c r="K331" s="9" t="s">
        <v>910</v>
      </c>
    </row>
    <row r="332">
      <c r="A332" s="10">
        <v>330.0</v>
      </c>
      <c r="B332" s="6" t="s">
        <v>624</v>
      </c>
      <c r="C332" s="7"/>
      <c r="D332" s="7"/>
      <c r="E332" s="8">
        <v>330.0</v>
      </c>
      <c r="F332" s="9" t="s">
        <v>907</v>
      </c>
      <c r="G332" s="9" t="s">
        <v>908</v>
      </c>
      <c r="H332" s="9" t="s">
        <v>909</v>
      </c>
      <c r="I332" s="9" t="s">
        <v>910</v>
      </c>
      <c r="J332" s="9" t="s">
        <v>911</v>
      </c>
      <c r="K332" s="9" t="s">
        <v>912</v>
      </c>
    </row>
    <row r="333">
      <c r="A333" s="10">
        <v>331.0</v>
      </c>
      <c r="B333" s="6" t="s">
        <v>625</v>
      </c>
      <c r="C333" s="7"/>
      <c r="D333" s="7"/>
      <c r="E333" s="8">
        <v>331.0</v>
      </c>
      <c r="F333" s="9" t="s">
        <v>909</v>
      </c>
      <c r="G333" s="9" t="s">
        <v>910</v>
      </c>
      <c r="H333" s="9" t="s">
        <v>911</v>
      </c>
      <c r="I333" s="9" t="s">
        <v>912</v>
      </c>
      <c r="J333" s="9" t="s">
        <v>913</v>
      </c>
      <c r="K333" s="9" t="s">
        <v>914</v>
      </c>
    </row>
    <row r="334">
      <c r="A334" s="10">
        <v>332.0</v>
      </c>
      <c r="B334" s="6" t="s">
        <v>626</v>
      </c>
      <c r="C334" s="7"/>
      <c r="D334" s="7"/>
      <c r="E334" s="8">
        <v>332.0</v>
      </c>
      <c r="F334" s="9" t="s">
        <v>911</v>
      </c>
      <c r="G334" s="9" t="s">
        <v>912</v>
      </c>
      <c r="H334" s="9" t="s">
        <v>913</v>
      </c>
      <c r="I334" s="9" t="s">
        <v>914</v>
      </c>
      <c r="J334" s="9" t="s">
        <v>915</v>
      </c>
      <c r="K334" s="9" t="s">
        <v>916</v>
      </c>
    </row>
    <row r="335">
      <c r="A335" s="10">
        <v>333.0</v>
      </c>
      <c r="B335" s="6" t="s">
        <v>627</v>
      </c>
      <c r="C335" s="7"/>
      <c r="D335" s="7"/>
      <c r="E335" s="8">
        <v>333.0</v>
      </c>
      <c r="F335" s="8">
        <v>0.0</v>
      </c>
      <c r="G335" s="8">
        <v>0.0</v>
      </c>
      <c r="H335" s="8">
        <v>0.0</v>
      </c>
      <c r="I335" s="8">
        <v>0.0</v>
      </c>
      <c r="J335" s="8">
        <v>0.0</v>
      </c>
      <c r="K335" s="8">
        <v>0.0</v>
      </c>
    </row>
    <row r="336">
      <c r="A336" s="10">
        <v>334.0</v>
      </c>
      <c r="B336" s="6" t="s">
        <v>628</v>
      </c>
      <c r="C336" s="7"/>
      <c r="D336" s="7"/>
      <c r="E336" s="8">
        <v>334.0</v>
      </c>
      <c r="F336" s="8">
        <v>0.0</v>
      </c>
      <c r="G336" s="8">
        <v>0.0</v>
      </c>
      <c r="H336" s="8">
        <v>0.0</v>
      </c>
      <c r="I336" s="8">
        <v>0.0</v>
      </c>
      <c r="J336" s="8">
        <v>0.0</v>
      </c>
      <c r="K336" s="8">
        <v>0.0</v>
      </c>
    </row>
    <row r="337">
      <c r="A337" s="10">
        <v>335.0</v>
      </c>
      <c r="B337" s="6" t="s">
        <v>629</v>
      </c>
      <c r="C337" s="7"/>
      <c r="D337" s="7"/>
      <c r="E337" s="8">
        <v>335.0</v>
      </c>
      <c r="F337" s="8">
        <v>0.0</v>
      </c>
      <c r="G337" s="8">
        <v>0.0</v>
      </c>
      <c r="H337" s="8">
        <v>0.0</v>
      </c>
      <c r="I337" s="8">
        <v>0.0</v>
      </c>
      <c r="J337" s="8">
        <v>0.0</v>
      </c>
      <c r="K337" s="8">
        <v>0.0</v>
      </c>
    </row>
    <row r="338">
      <c r="A338" s="10">
        <v>336.0</v>
      </c>
      <c r="B338" s="6" t="s">
        <v>630</v>
      </c>
      <c r="C338" s="7"/>
      <c r="D338" s="7"/>
      <c r="E338" s="8">
        <v>336.0</v>
      </c>
      <c r="F338" s="8">
        <v>0.0</v>
      </c>
      <c r="G338" s="8">
        <v>0.0</v>
      </c>
      <c r="H338" s="8">
        <v>0.0</v>
      </c>
      <c r="I338" s="8">
        <v>0.0</v>
      </c>
      <c r="J338" s="8">
        <v>0.0</v>
      </c>
      <c r="K338" s="8">
        <v>0.0</v>
      </c>
    </row>
    <row r="339">
      <c r="A339" s="10">
        <v>337.0</v>
      </c>
      <c r="B339" s="6" t="s">
        <v>631</v>
      </c>
      <c r="C339" s="7"/>
      <c r="D339" s="7"/>
      <c r="E339" s="8">
        <v>337.0</v>
      </c>
      <c r="F339" s="9" t="str">
        <f t="array" ref="F339:K350">"input[21][" &amp; (COLUMN(A1:F1)-COLUMN(A1) + 2*(ROW(O4:O15)-ROW(O4))) &amp; "]"</f>
        <v>input[21][0]</v>
      </c>
      <c r="G339" s="9" t="s">
        <v>917</v>
      </c>
      <c r="H339" s="9" t="s">
        <v>918</v>
      </c>
      <c r="I339" s="9" t="s">
        <v>919</v>
      </c>
      <c r="J339" s="9" t="s">
        <v>920</v>
      </c>
      <c r="K339" s="9" t="s">
        <v>921</v>
      </c>
    </row>
    <row r="340">
      <c r="A340" s="10">
        <v>338.0</v>
      </c>
      <c r="B340" s="6" t="s">
        <v>632</v>
      </c>
      <c r="C340" s="7"/>
      <c r="D340" s="7"/>
      <c r="E340" s="8">
        <v>338.0</v>
      </c>
      <c r="F340" s="9" t="s">
        <v>918</v>
      </c>
      <c r="G340" s="9" t="s">
        <v>919</v>
      </c>
      <c r="H340" s="9" t="s">
        <v>920</v>
      </c>
      <c r="I340" s="9" t="s">
        <v>921</v>
      </c>
      <c r="J340" s="9" t="s">
        <v>922</v>
      </c>
      <c r="K340" s="9" t="s">
        <v>923</v>
      </c>
    </row>
    <row r="341">
      <c r="A341" s="10">
        <v>339.0</v>
      </c>
      <c r="B341" s="6" t="s">
        <v>633</v>
      </c>
      <c r="C341" s="7"/>
      <c r="D341" s="7"/>
      <c r="E341" s="8">
        <v>339.0</v>
      </c>
      <c r="F341" s="9" t="s">
        <v>920</v>
      </c>
      <c r="G341" s="9" t="s">
        <v>921</v>
      </c>
      <c r="H341" s="9" t="s">
        <v>922</v>
      </c>
      <c r="I341" s="9" t="s">
        <v>923</v>
      </c>
      <c r="J341" s="9" t="s">
        <v>924</v>
      </c>
      <c r="K341" s="9" t="s">
        <v>925</v>
      </c>
    </row>
    <row r="342">
      <c r="A342" s="10">
        <v>340.0</v>
      </c>
      <c r="B342" s="6" t="s">
        <v>634</v>
      </c>
      <c r="C342" s="7"/>
      <c r="D342" s="7"/>
      <c r="E342" s="8">
        <v>340.0</v>
      </c>
      <c r="F342" s="9" t="s">
        <v>922</v>
      </c>
      <c r="G342" s="9" t="s">
        <v>923</v>
      </c>
      <c r="H342" s="9" t="s">
        <v>924</v>
      </c>
      <c r="I342" s="9" t="s">
        <v>925</v>
      </c>
      <c r="J342" s="9" t="s">
        <v>926</v>
      </c>
      <c r="K342" s="9" t="s">
        <v>927</v>
      </c>
    </row>
    <row r="343">
      <c r="A343" s="10">
        <v>341.0</v>
      </c>
      <c r="B343" s="6" t="s">
        <v>635</v>
      </c>
      <c r="C343" s="7"/>
      <c r="D343" s="7"/>
      <c r="E343" s="8">
        <v>341.0</v>
      </c>
      <c r="F343" s="9" t="s">
        <v>924</v>
      </c>
      <c r="G343" s="9" t="s">
        <v>925</v>
      </c>
      <c r="H343" s="9" t="s">
        <v>926</v>
      </c>
      <c r="I343" s="9" t="s">
        <v>927</v>
      </c>
      <c r="J343" s="9" t="s">
        <v>928</v>
      </c>
      <c r="K343" s="9" t="s">
        <v>929</v>
      </c>
    </row>
    <row r="344">
      <c r="A344" s="10">
        <v>342.0</v>
      </c>
      <c r="B344" s="6" t="s">
        <v>636</v>
      </c>
      <c r="C344" s="7"/>
      <c r="D344" s="7"/>
      <c r="E344" s="8">
        <v>342.0</v>
      </c>
      <c r="F344" s="9" t="s">
        <v>926</v>
      </c>
      <c r="G344" s="9" t="s">
        <v>927</v>
      </c>
      <c r="H344" s="9" t="s">
        <v>928</v>
      </c>
      <c r="I344" s="9" t="s">
        <v>929</v>
      </c>
      <c r="J344" s="9" t="s">
        <v>930</v>
      </c>
      <c r="K344" s="9" t="s">
        <v>931</v>
      </c>
    </row>
    <row r="345">
      <c r="A345" s="10">
        <v>343.0</v>
      </c>
      <c r="B345" s="6" t="s">
        <v>637</v>
      </c>
      <c r="C345" s="7"/>
      <c r="D345" s="7"/>
      <c r="E345" s="8">
        <v>343.0</v>
      </c>
      <c r="F345" s="9" t="s">
        <v>928</v>
      </c>
      <c r="G345" s="9" t="s">
        <v>929</v>
      </c>
      <c r="H345" s="9" t="s">
        <v>930</v>
      </c>
      <c r="I345" s="9" t="s">
        <v>931</v>
      </c>
      <c r="J345" s="9" t="s">
        <v>932</v>
      </c>
      <c r="K345" s="9" t="s">
        <v>933</v>
      </c>
    </row>
    <row r="346">
      <c r="A346" s="10">
        <v>344.0</v>
      </c>
      <c r="B346" s="6" t="s">
        <v>638</v>
      </c>
      <c r="C346" s="7"/>
      <c r="D346" s="7"/>
      <c r="E346" s="8">
        <v>344.0</v>
      </c>
      <c r="F346" s="9" t="s">
        <v>930</v>
      </c>
      <c r="G346" s="9" t="s">
        <v>931</v>
      </c>
      <c r="H346" s="9" t="s">
        <v>932</v>
      </c>
      <c r="I346" s="9" t="s">
        <v>933</v>
      </c>
      <c r="J346" s="9" t="s">
        <v>934</v>
      </c>
      <c r="K346" s="9" t="s">
        <v>935</v>
      </c>
    </row>
    <row r="347">
      <c r="A347" s="10">
        <v>345.0</v>
      </c>
      <c r="B347" s="6" t="s">
        <v>639</v>
      </c>
      <c r="C347" s="7"/>
      <c r="D347" s="7"/>
      <c r="E347" s="8">
        <v>345.0</v>
      </c>
      <c r="F347" s="9" t="s">
        <v>932</v>
      </c>
      <c r="G347" s="9" t="s">
        <v>933</v>
      </c>
      <c r="H347" s="9" t="s">
        <v>934</v>
      </c>
      <c r="I347" s="9" t="s">
        <v>935</v>
      </c>
      <c r="J347" s="9" t="s">
        <v>936</v>
      </c>
      <c r="K347" s="9" t="s">
        <v>937</v>
      </c>
    </row>
    <row r="348">
      <c r="A348" s="10">
        <v>346.0</v>
      </c>
      <c r="B348" s="6" t="s">
        <v>640</v>
      </c>
      <c r="C348" s="7"/>
      <c r="D348" s="7"/>
      <c r="E348" s="8">
        <v>346.0</v>
      </c>
      <c r="F348" s="9" t="s">
        <v>934</v>
      </c>
      <c r="G348" s="9" t="s">
        <v>935</v>
      </c>
      <c r="H348" s="9" t="s">
        <v>936</v>
      </c>
      <c r="I348" s="9" t="s">
        <v>937</v>
      </c>
      <c r="J348" s="9" t="s">
        <v>938</v>
      </c>
      <c r="K348" s="9" t="s">
        <v>939</v>
      </c>
    </row>
    <row r="349">
      <c r="A349" s="10">
        <v>347.0</v>
      </c>
      <c r="B349" s="6" t="s">
        <v>641</v>
      </c>
      <c r="C349" s="7"/>
      <c r="D349" s="7"/>
      <c r="E349" s="8">
        <v>347.0</v>
      </c>
      <c r="F349" s="9" t="s">
        <v>936</v>
      </c>
      <c r="G349" s="9" t="s">
        <v>937</v>
      </c>
      <c r="H349" s="9" t="s">
        <v>938</v>
      </c>
      <c r="I349" s="9" t="s">
        <v>939</v>
      </c>
      <c r="J349" s="9" t="s">
        <v>940</v>
      </c>
      <c r="K349" s="9" t="s">
        <v>941</v>
      </c>
    </row>
    <row r="350">
      <c r="A350" s="10">
        <v>348.0</v>
      </c>
      <c r="C350" s="7"/>
      <c r="D350" s="7"/>
      <c r="E350" s="8">
        <v>348.0</v>
      </c>
      <c r="F350" s="9" t="s">
        <v>938</v>
      </c>
      <c r="G350" s="9" t="s">
        <v>939</v>
      </c>
      <c r="H350" s="9" t="s">
        <v>940</v>
      </c>
      <c r="I350" s="9" t="s">
        <v>941</v>
      </c>
      <c r="J350" s="9" t="s">
        <v>942</v>
      </c>
      <c r="K350" s="9" t="s">
        <v>943</v>
      </c>
    </row>
    <row r="351">
      <c r="A351" s="10">
        <v>349.0</v>
      </c>
      <c r="C351" s="7"/>
      <c r="D351" s="7"/>
      <c r="E351" s="8">
        <v>349.0</v>
      </c>
      <c r="F351" s="8">
        <v>0.0</v>
      </c>
      <c r="G351" s="8">
        <v>0.0</v>
      </c>
      <c r="H351" s="8">
        <v>0.0</v>
      </c>
      <c r="I351" s="8">
        <v>0.0</v>
      </c>
      <c r="J351" s="8">
        <v>0.0</v>
      </c>
      <c r="K351" s="8">
        <v>0.0</v>
      </c>
    </row>
    <row r="352">
      <c r="A352" s="10">
        <v>350.0</v>
      </c>
      <c r="C352" s="7"/>
      <c r="D352" s="7"/>
      <c r="E352" s="8">
        <v>350.0</v>
      </c>
      <c r="F352" s="8">
        <v>0.0</v>
      </c>
      <c r="G352" s="8">
        <v>0.0</v>
      </c>
      <c r="H352" s="8">
        <v>0.0</v>
      </c>
      <c r="I352" s="8">
        <v>0.0</v>
      </c>
      <c r="J352" s="8">
        <v>0.0</v>
      </c>
      <c r="K352" s="8">
        <v>0.0</v>
      </c>
    </row>
    <row r="353">
      <c r="A353" s="10">
        <v>351.0</v>
      </c>
      <c r="C353" s="7"/>
      <c r="D353" s="7"/>
      <c r="E353" s="8">
        <v>351.0</v>
      </c>
      <c r="F353" s="8">
        <v>0.0</v>
      </c>
      <c r="G353" s="8">
        <v>0.0</v>
      </c>
      <c r="H353" s="8">
        <v>0.0</v>
      </c>
      <c r="I353" s="8">
        <v>0.0</v>
      </c>
      <c r="J353" s="8">
        <v>0.0</v>
      </c>
      <c r="K353" s="8">
        <v>0.0</v>
      </c>
    </row>
    <row r="354">
      <c r="A354" s="10">
        <v>352.0</v>
      </c>
      <c r="B354" s="6" t="s">
        <v>944</v>
      </c>
      <c r="C354" s="7"/>
      <c r="D354" s="7"/>
      <c r="E354" s="8">
        <v>352.0</v>
      </c>
      <c r="F354" s="8">
        <v>0.0</v>
      </c>
      <c r="G354" s="8">
        <v>0.0</v>
      </c>
      <c r="H354" s="8">
        <v>0.0</v>
      </c>
      <c r="I354" s="8">
        <v>0.0</v>
      </c>
      <c r="J354" s="8">
        <v>0.0</v>
      </c>
      <c r="K354" s="8">
        <v>0.0</v>
      </c>
    </row>
    <row r="355">
      <c r="A355" s="10">
        <v>353.0</v>
      </c>
      <c r="B355" s="6" t="s">
        <v>642</v>
      </c>
      <c r="C355" s="7"/>
      <c r="D355" s="7"/>
      <c r="E355" s="8">
        <v>353.0</v>
      </c>
      <c r="F355" s="9" t="str">
        <f t="array" ref="F355:K366">"input[22][" &amp; (COLUMN(A17:F17)-COLUMN(A17) + 2*(ROW(O20:O31)-ROW(O20))) &amp; "]"</f>
        <v>input[22][0]</v>
      </c>
      <c r="G355" s="9" t="s">
        <v>945</v>
      </c>
      <c r="H355" s="9" t="s">
        <v>946</v>
      </c>
      <c r="I355" s="9" t="s">
        <v>947</v>
      </c>
      <c r="J355" s="9" t="s">
        <v>948</v>
      </c>
      <c r="K355" s="9" t="s">
        <v>949</v>
      </c>
    </row>
    <row r="356">
      <c r="A356" s="10">
        <v>354.0</v>
      </c>
      <c r="B356" s="6" t="s">
        <v>643</v>
      </c>
      <c r="C356" s="7"/>
      <c r="D356" s="7"/>
      <c r="E356" s="8">
        <v>354.0</v>
      </c>
      <c r="F356" s="9" t="s">
        <v>946</v>
      </c>
      <c r="G356" s="9" t="s">
        <v>947</v>
      </c>
      <c r="H356" s="9" t="s">
        <v>948</v>
      </c>
      <c r="I356" s="9" t="s">
        <v>949</v>
      </c>
      <c r="J356" s="9" t="s">
        <v>950</v>
      </c>
      <c r="K356" s="9" t="s">
        <v>951</v>
      </c>
    </row>
    <row r="357">
      <c r="A357" s="10">
        <v>355.0</v>
      </c>
      <c r="B357" s="6" t="s">
        <v>644</v>
      </c>
      <c r="C357" s="7"/>
      <c r="D357" s="7"/>
      <c r="E357" s="8">
        <v>355.0</v>
      </c>
      <c r="F357" s="9" t="s">
        <v>948</v>
      </c>
      <c r="G357" s="9" t="s">
        <v>949</v>
      </c>
      <c r="H357" s="9" t="s">
        <v>950</v>
      </c>
      <c r="I357" s="9" t="s">
        <v>951</v>
      </c>
      <c r="J357" s="9" t="s">
        <v>952</v>
      </c>
      <c r="K357" s="9" t="s">
        <v>953</v>
      </c>
    </row>
    <row r="358">
      <c r="A358" s="10">
        <v>356.0</v>
      </c>
      <c r="B358" s="6" t="s">
        <v>645</v>
      </c>
      <c r="C358" s="7"/>
      <c r="D358" s="7"/>
      <c r="E358" s="8">
        <v>356.0</v>
      </c>
      <c r="F358" s="9" t="s">
        <v>950</v>
      </c>
      <c r="G358" s="9" t="s">
        <v>951</v>
      </c>
      <c r="H358" s="9" t="s">
        <v>952</v>
      </c>
      <c r="I358" s="9" t="s">
        <v>953</v>
      </c>
      <c r="J358" s="9" t="s">
        <v>954</v>
      </c>
      <c r="K358" s="9" t="s">
        <v>955</v>
      </c>
    </row>
    <row r="359">
      <c r="A359" s="10">
        <v>357.0</v>
      </c>
      <c r="B359" s="6" t="s">
        <v>646</v>
      </c>
      <c r="C359" s="7"/>
      <c r="D359" s="7"/>
      <c r="E359" s="8">
        <v>357.0</v>
      </c>
      <c r="F359" s="9" t="s">
        <v>952</v>
      </c>
      <c r="G359" s="9" t="s">
        <v>953</v>
      </c>
      <c r="H359" s="9" t="s">
        <v>954</v>
      </c>
      <c r="I359" s="9" t="s">
        <v>955</v>
      </c>
      <c r="J359" s="9" t="s">
        <v>956</v>
      </c>
      <c r="K359" s="9" t="s">
        <v>957</v>
      </c>
    </row>
    <row r="360">
      <c r="A360" s="10">
        <v>358.0</v>
      </c>
      <c r="B360" s="6" t="s">
        <v>647</v>
      </c>
      <c r="C360" s="7"/>
      <c r="D360" s="7"/>
      <c r="E360" s="8">
        <v>358.0</v>
      </c>
      <c r="F360" s="9" t="s">
        <v>954</v>
      </c>
      <c r="G360" s="9" t="s">
        <v>955</v>
      </c>
      <c r="H360" s="9" t="s">
        <v>956</v>
      </c>
      <c r="I360" s="9" t="s">
        <v>957</v>
      </c>
      <c r="J360" s="9" t="s">
        <v>958</v>
      </c>
      <c r="K360" s="9" t="s">
        <v>959</v>
      </c>
    </row>
    <row r="361">
      <c r="A361" s="10">
        <v>359.0</v>
      </c>
      <c r="B361" s="6" t="s">
        <v>648</v>
      </c>
      <c r="C361" s="7"/>
      <c r="D361" s="7"/>
      <c r="E361" s="8">
        <v>359.0</v>
      </c>
      <c r="F361" s="9" t="s">
        <v>956</v>
      </c>
      <c r="G361" s="9" t="s">
        <v>957</v>
      </c>
      <c r="H361" s="9" t="s">
        <v>958</v>
      </c>
      <c r="I361" s="9" t="s">
        <v>959</v>
      </c>
      <c r="J361" s="9" t="s">
        <v>960</v>
      </c>
      <c r="K361" s="9" t="s">
        <v>961</v>
      </c>
    </row>
    <row r="362">
      <c r="A362" s="10">
        <v>360.0</v>
      </c>
      <c r="B362" s="6" t="s">
        <v>649</v>
      </c>
      <c r="C362" s="7"/>
      <c r="D362" s="7"/>
      <c r="E362" s="8">
        <v>360.0</v>
      </c>
      <c r="F362" s="9" t="s">
        <v>958</v>
      </c>
      <c r="G362" s="9" t="s">
        <v>959</v>
      </c>
      <c r="H362" s="9" t="s">
        <v>960</v>
      </c>
      <c r="I362" s="9" t="s">
        <v>961</v>
      </c>
      <c r="J362" s="9" t="s">
        <v>962</v>
      </c>
      <c r="K362" s="9" t="s">
        <v>963</v>
      </c>
    </row>
    <row r="363">
      <c r="A363" s="10">
        <v>361.0</v>
      </c>
      <c r="B363" s="6" t="s">
        <v>650</v>
      </c>
      <c r="C363" s="7"/>
      <c r="D363" s="7"/>
      <c r="E363" s="8">
        <v>361.0</v>
      </c>
      <c r="F363" s="9" t="s">
        <v>960</v>
      </c>
      <c r="G363" s="9" t="s">
        <v>961</v>
      </c>
      <c r="H363" s="9" t="s">
        <v>962</v>
      </c>
      <c r="I363" s="9" t="s">
        <v>963</v>
      </c>
      <c r="J363" s="9" t="s">
        <v>964</v>
      </c>
      <c r="K363" s="9" t="s">
        <v>965</v>
      </c>
    </row>
    <row r="364">
      <c r="A364" s="10">
        <v>362.0</v>
      </c>
      <c r="B364" s="6" t="s">
        <v>651</v>
      </c>
      <c r="C364" s="7"/>
      <c r="D364" s="7"/>
      <c r="E364" s="8">
        <v>362.0</v>
      </c>
      <c r="F364" s="9" t="s">
        <v>962</v>
      </c>
      <c r="G364" s="9" t="s">
        <v>963</v>
      </c>
      <c r="H364" s="9" t="s">
        <v>964</v>
      </c>
      <c r="I364" s="9" t="s">
        <v>965</v>
      </c>
      <c r="J364" s="9" t="s">
        <v>966</v>
      </c>
      <c r="K364" s="9" t="s">
        <v>967</v>
      </c>
    </row>
    <row r="365">
      <c r="A365" s="10">
        <v>363.0</v>
      </c>
      <c r="B365" s="6" t="s">
        <v>652</v>
      </c>
      <c r="C365" s="7"/>
      <c r="D365" s="7"/>
      <c r="E365" s="8">
        <v>363.0</v>
      </c>
      <c r="F365" s="9" t="s">
        <v>964</v>
      </c>
      <c r="G365" s="9" t="s">
        <v>965</v>
      </c>
      <c r="H365" s="9" t="s">
        <v>966</v>
      </c>
      <c r="I365" s="9" t="s">
        <v>967</v>
      </c>
      <c r="J365" s="9" t="s">
        <v>968</v>
      </c>
      <c r="K365" s="9" t="s">
        <v>969</v>
      </c>
    </row>
    <row r="366">
      <c r="A366" s="10">
        <v>364.0</v>
      </c>
      <c r="B366" s="6" t="s">
        <v>653</v>
      </c>
      <c r="C366" s="7"/>
      <c r="D366" s="7"/>
      <c r="E366" s="8">
        <v>364.0</v>
      </c>
      <c r="F366" s="9" t="s">
        <v>966</v>
      </c>
      <c r="G366" s="9" t="s">
        <v>967</v>
      </c>
      <c r="H366" s="9" t="s">
        <v>968</v>
      </c>
      <c r="I366" s="9" t="s">
        <v>969</v>
      </c>
      <c r="J366" s="9" t="s">
        <v>970</v>
      </c>
      <c r="K366" s="9" t="s">
        <v>971</v>
      </c>
    </row>
    <row r="367">
      <c r="A367" s="10">
        <v>365.0</v>
      </c>
      <c r="B367" s="6" t="s">
        <v>654</v>
      </c>
      <c r="C367" s="7"/>
      <c r="D367" s="7"/>
      <c r="E367" s="8">
        <v>365.0</v>
      </c>
      <c r="F367" s="8">
        <v>0.0</v>
      </c>
      <c r="G367" s="8">
        <v>0.0</v>
      </c>
      <c r="H367" s="8">
        <v>0.0</v>
      </c>
      <c r="I367" s="8">
        <v>0.0</v>
      </c>
      <c r="J367" s="8">
        <v>0.0</v>
      </c>
      <c r="K367" s="8">
        <v>0.0</v>
      </c>
    </row>
    <row r="368">
      <c r="A368" s="10">
        <v>366.0</v>
      </c>
      <c r="B368" s="6" t="s">
        <v>655</v>
      </c>
      <c r="C368" s="7"/>
      <c r="D368" s="7"/>
      <c r="E368" s="8">
        <v>366.0</v>
      </c>
      <c r="F368" s="8">
        <v>0.0</v>
      </c>
      <c r="G368" s="8">
        <v>0.0</v>
      </c>
      <c r="H368" s="8">
        <v>0.0</v>
      </c>
      <c r="I368" s="8">
        <v>0.0</v>
      </c>
      <c r="J368" s="8">
        <v>0.0</v>
      </c>
      <c r="K368" s="8">
        <v>0.0</v>
      </c>
    </row>
    <row r="369">
      <c r="A369" s="10">
        <v>367.0</v>
      </c>
      <c r="B369" s="6" t="s">
        <v>656</v>
      </c>
      <c r="C369" s="7"/>
      <c r="D369" s="7"/>
      <c r="E369" s="8">
        <v>367.0</v>
      </c>
      <c r="F369" s="8">
        <v>0.0</v>
      </c>
      <c r="G369" s="8">
        <v>0.0</v>
      </c>
      <c r="H369" s="8">
        <v>0.0</v>
      </c>
      <c r="I369" s="8">
        <v>0.0</v>
      </c>
      <c r="J369" s="8">
        <v>0.0</v>
      </c>
      <c r="K369" s="8">
        <v>0.0</v>
      </c>
    </row>
    <row r="370">
      <c r="A370" s="10">
        <v>368.0</v>
      </c>
      <c r="B370" s="6" t="s">
        <v>657</v>
      </c>
      <c r="C370" s="7"/>
      <c r="D370" s="7"/>
      <c r="E370" s="8">
        <v>368.0</v>
      </c>
      <c r="F370" s="8">
        <v>0.0</v>
      </c>
      <c r="G370" s="8">
        <v>0.0</v>
      </c>
      <c r="H370" s="8">
        <v>0.0</v>
      </c>
      <c r="I370" s="8">
        <v>0.0</v>
      </c>
      <c r="J370" s="8">
        <v>0.0</v>
      </c>
      <c r="K370" s="8">
        <v>0.0</v>
      </c>
    </row>
    <row r="371">
      <c r="A371" s="10">
        <v>369.0</v>
      </c>
      <c r="B371" s="6" t="s">
        <v>658</v>
      </c>
      <c r="C371" s="7"/>
      <c r="D371" s="7"/>
      <c r="E371" s="8">
        <v>369.0</v>
      </c>
      <c r="F371" s="9" t="str">
        <f t="array" ref="F371:K382">"input[23][" &amp; (COLUMN(A33:F33)-COLUMN(A33) + 2*(ROW(O36:O47)-ROW(O36))) &amp; "]"</f>
        <v>input[23][0]</v>
      </c>
      <c r="G371" s="9" t="s">
        <v>972</v>
      </c>
      <c r="H371" s="9" t="s">
        <v>973</v>
      </c>
      <c r="I371" s="9" t="s">
        <v>974</v>
      </c>
      <c r="J371" s="9" t="s">
        <v>975</v>
      </c>
      <c r="K371" s="9" t="s">
        <v>976</v>
      </c>
    </row>
    <row r="372">
      <c r="A372" s="10">
        <v>370.0</v>
      </c>
      <c r="B372" s="6" t="s">
        <v>659</v>
      </c>
      <c r="C372" s="7"/>
      <c r="D372" s="7"/>
      <c r="E372" s="8">
        <v>370.0</v>
      </c>
      <c r="F372" s="9" t="s">
        <v>973</v>
      </c>
      <c r="G372" s="9" t="s">
        <v>974</v>
      </c>
      <c r="H372" s="9" t="s">
        <v>975</v>
      </c>
      <c r="I372" s="9" t="s">
        <v>976</v>
      </c>
      <c r="J372" s="9" t="s">
        <v>977</v>
      </c>
      <c r="K372" s="9" t="s">
        <v>978</v>
      </c>
    </row>
    <row r="373">
      <c r="A373" s="10">
        <v>371.0</v>
      </c>
      <c r="B373" s="6" t="s">
        <v>660</v>
      </c>
      <c r="C373" s="7"/>
      <c r="D373" s="7"/>
      <c r="E373" s="8">
        <v>371.0</v>
      </c>
      <c r="F373" s="9" t="s">
        <v>975</v>
      </c>
      <c r="G373" s="9" t="s">
        <v>976</v>
      </c>
      <c r="H373" s="9" t="s">
        <v>977</v>
      </c>
      <c r="I373" s="9" t="s">
        <v>978</v>
      </c>
      <c r="J373" s="9" t="s">
        <v>979</v>
      </c>
      <c r="K373" s="9" t="s">
        <v>980</v>
      </c>
    </row>
    <row r="374">
      <c r="A374" s="10">
        <v>372.0</v>
      </c>
      <c r="B374" s="6" t="s">
        <v>661</v>
      </c>
      <c r="C374" s="7"/>
      <c r="D374" s="7"/>
      <c r="E374" s="8">
        <v>372.0</v>
      </c>
      <c r="F374" s="9" t="s">
        <v>977</v>
      </c>
      <c r="G374" s="9" t="s">
        <v>978</v>
      </c>
      <c r="H374" s="9" t="s">
        <v>979</v>
      </c>
      <c r="I374" s="9" t="s">
        <v>980</v>
      </c>
      <c r="J374" s="9" t="s">
        <v>981</v>
      </c>
      <c r="K374" s="9" t="s">
        <v>982</v>
      </c>
    </row>
    <row r="375">
      <c r="A375" s="10">
        <v>373.0</v>
      </c>
      <c r="B375" s="6" t="s">
        <v>662</v>
      </c>
      <c r="C375" s="7"/>
      <c r="D375" s="7"/>
      <c r="E375" s="8">
        <v>373.0</v>
      </c>
      <c r="F375" s="9" t="s">
        <v>979</v>
      </c>
      <c r="G375" s="9" t="s">
        <v>980</v>
      </c>
      <c r="H375" s="9" t="s">
        <v>981</v>
      </c>
      <c r="I375" s="9" t="s">
        <v>982</v>
      </c>
      <c r="J375" s="9" t="s">
        <v>983</v>
      </c>
      <c r="K375" s="9" t="s">
        <v>984</v>
      </c>
    </row>
    <row r="376">
      <c r="A376" s="10">
        <v>374.0</v>
      </c>
      <c r="B376" s="6" t="s">
        <v>663</v>
      </c>
      <c r="C376" s="7"/>
      <c r="D376" s="7"/>
      <c r="E376" s="8">
        <v>374.0</v>
      </c>
      <c r="F376" s="9" t="s">
        <v>981</v>
      </c>
      <c r="G376" s="9" t="s">
        <v>982</v>
      </c>
      <c r="H376" s="9" t="s">
        <v>983</v>
      </c>
      <c r="I376" s="9" t="s">
        <v>984</v>
      </c>
      <c r="J376" s="9" t="s">
        <v>985</v>
      </c>
      <c r="K376" s="9" t="s">
        <v>986</v>
      </c>
    </row>
    <row r="377">
      <c r="A377" s="10">
        <v>375.0</v>
      </c>
      <c r="B377" s="6" t="s">
        <v>664</v>
      </c>
      <c r="C377" s="7"/>
      <c r="D377" s="7"/>
      <c r="E377" s="8">
        <v>375.0</v>
      </c>
      <c r="F377" s="9" t="s">
        <v>983</v>
      </c>
      <c r="G377" s="9" t="s">
        <v>984</v>
      </c>
      <c r="H377" s="9" t="s">
        <v>985</v>
      </c>
      <c r="I377" s="9" t="s">
        <v>986</v>
      </c>
      <c r="J377" s="9" t="s">
        <v>987</v>
      </c>
      <c r="K377" s="9" t="s">
        <v>988</v>
      </c>
    </row>
    <row r="378">
      <c r="A378" s="10">
        <v>376.0</v>
      </c>
      <c r="B378" s="6" t="s">
        <v>665</v>
      </c>
      <c r="C378" s="7"/>
      <c r="D378" s="7"/>
      <c r="E378" s="8">
        <v>376.0</v>
      </c>
      <c r="F378" s="9" t="s">
        <v>985</v>
      </c>
      <c r="G378" s="9" t="s">
        <v>986</v>
      </c>
      <c r="H378" s="9" t="s">
        <v>987</v>
      </c>
      <c r="I378" s="9" t="s">
        <v>988</v>
      </c>
      <c r="J378" s="9" t="s">
        <v>989</v>
      </c>
      <c r="K378" s="9" t="s">
        <v>990</v>
      </c>
    </row>
    <row r="379">
      <c r="A379" s="10">
        <v>377.0</v>
      </c>
      <c r="B379" s="6" t="s">
        <v>666</v>
      </c>
      <c r="C379" s="7"/>
      <c r="D379" s="7"/>
      <c r="E379" s="8">
        <v>377.0</v>
      </c>
      <c r="F379" s="9" t="s">
        <v>987</v>
      </c>
      <c r="G379" s="9" t="s">
        <v>988</v>
      </c>
      <c r="H379" s="9" t="s">
        <v>989</v>
      </c>
      <c r="I379" s="9" t="s">
        <v>990</v>
      </c>
      <c r="J379" s="9" t="s">
        <v>991</v>
      </c>
      <c r="K379" s="9" t="s">
        <v>992</v>
      </c>
    </row>
    <row r="380">
      <c r="A380" s="10">
        <v>378.0</v>
      </c>
      <c r="B380" s="6" t="s">
        <v>667</v>
      </c>
      <c r="C380" s="7"/>
      <c r="D380" s="7"/>
      <c r="E380" s="8">
        <v>378.0</v>
      </c>
      <c r="F380" s="9" t="s">
        <v>989</v>
      </c>
      <c r="G380" s="9" t="s">
        <v>990</v>
      </c>
      <c r="H380" s="9" t="s">
        <v>991</v>
      </c>
      <c r="I380" s="9" t="s">
        <v>992</v>
      </c>
      <c r="J380" s="9" t="s">
        <v>993</v>
      </c>
      <c r="K380" s="9" t="s">
        <v>994</v>
      </c>
    </row>
    <row r="381">
      <c r="A381" s="10">
        <v>379.0</v>
      </c>
      <c r="B381" s="6" t="s">
        <v>668</v>
      </c>
      <c r="C381" s="7"/>
      <c r="D381" s="7"/>
      <c r="E381" s="8">
        <v>379.0</v>
      </c>
      <c r="F381" s="9" t="s">
        <v>991</v>
      </c>
      <c r="G381" s="9" t="s">
        <v>992</v>
      </c>
      <c r="H381" s="9" t="s">
        <v>993</v>
      </c>
      <c r="I381" s="9" t="s">
        <v>994</v>
      </c>
      <c r="J381" s="9" t="s">
        <v>995</v>
      </c>
      <c r="K381" s="9" t="s">
        <v>996</v>
      </c>
    </row>
    <row r="382">
      <c r="A382" s="10">
        <v>380.0</v>
      </c>
      <c r="C382" s="7"/>
      <c r="D382" s="7"/>
      <c r="E382" s="8">
        <v>380.0</v>
      </c>
      <c r="F382" s="9" t="s">
        <v>993</v>
      </c>
      <c r="G382" s="9" t="s">
        <v>994</v>
      </c>
      <c r="H382" s="9" t="s">
        <v>995</v>
      </c>
      <c r="I382" s="9" t="s">
        <v>996</v>
      </c>
      <c r="J382" s="9" t="s">
        <v>997</v>
      </c>
      <c r="K382" s="9" t="s">
        <v>998</v>
      </c>
    </row>
    <row r="383">
      <c r="A383" s="10">
        <v>381.0</v>
      </c>
      <c r="C383" s="7"/>
      <c r="D383" s="7"/>
      <c r="E383" s="8">
        <v>381.0</v>
      </c>
      <c r="F383" s="8">
        <v>0.0</v>
      </c>
      <c r="G383" s="8">
        <v>0.0</v>
      </c>
      <c r="H383" s="8">
        <v>0.0</v>
      </c>
      <c r="I383" s="8">
        <v>0.0</v>
      </c>
      <c r="J383" s="8">
        <v>0.0</v>
      </c>
      <c r="K383" s="8">
        <v>0.0</v>
      </c>
    </row>
    <row r="384">
      <c r="A384" s="10">
        <v>382.0</v>
      </c>
      <c r="C384" s="7"/>
      <c r="D384" s="7"/>
      <c r="E384" s="8">
        <v>382.0</v>
      </c>
      <c r="F384" s="8">
        <v>0.0</v>
      </c>
      <c r="G384" s="8">
        <v>0.0</v>
      </c>
      <c r="H384" s="8">
        <v>0.0</v>
      </c>
      <c r="I384" s="8">
        <v>0.0</v>
      </c>
      <c r="J384" s="8">
        <v>0.0</v>
      </c>
      <c r="K384" s="8">
        <v>0.0</v>
      </c>
    </row>
    <row r="385">
      <c r="A385" s="10">
        <v>383.0</v>
      </c>
      <c r="C385" s="7"/>
      <c r="D385" s="7"/>
      <c r="E385" s="8">
        <v>383.0</v>
      </c>
      <c r="F385" s="8">
        <v>0.0</v>
      </c>
      <c r="G385" s="8">
        <v>0.0</v>
      </c>
      <c r="H385" s="8">
        <v>0.0</v>
      </c>
      <c r="I385" s="8">
        <v>0.0</v>
      </c>
      <c r="J385" s="8">
        <v>0.0</v>
      </c>
      <c r="K385" s="8">
        <v>0.0</v>
      </c>
    </row>
    <row r="386">
      <c r="A386" s="10">
        <v>384.0</v>
      </c>
      <c r="B386" s="6" t="s">
        <v>999</v>
      </c>
      <c r="C386" s="7"/>
      <c r="D386" s="7"/>
      <c r="E386" s="8">
        <v>384.0</v>
      </c>
      <c r="F386" s="8">
        <v>0.0</v>
      </c>
      <c r="G386" s="8">
        <v>0.0</v>
      </c>
      <c r="H386" s="8">
        <v>0.0</v>
      </c>
      <c r="I386" s="8">
        <v>0.0</v>
      </c>
      <c r="J386" s="8">
        <v>0.0</v>
      </c>
      <c r="K386" s="8">
        <v>0.0</v>
      </c>
    </row>
    <row r="387">
      <c r="A387" s="10">
        <v>385.0</v>
      </c>
      <c r="B387" s="6" t="s">
        <v>670</v>
      </c>
      <c r="C387" s="7"/>
      <c r="D387" s="7"/>
      <c r="E387" s="8">
        <v>385.0</v>
      </c>
      <c r="F387" s="9" t="str">
        <f t="array" ref="F387:K398">"input[24][" &amp; (COLUMN(A49:F49)-COLUMN(A49) + 2*(ROW(O52:O63)-ROW(O52))) &amp; "]"</f>
        <v>input[24][0]</v>
      </c>
      <c r="G387" s="9" t="s">
        <v>1000</v>
      </c>
      <c r="H387" s="9" t="s">
        <v>1001</v>
      </c>
      <c r="I387" s="9" t="s">
        <v>1002</v>
      </c>
      <c r="J387" s="9" t="s">
        <v>1003</v>
      </c>
      <c r="K387" s="9" t="s">
        <v>1004</v>
      </c>
    </row>
    <row r="388">
      <c r="A388" s="10">
        <v>386.0</v>
      </c>
      <c r="B388" s="6" t="s">
        <v>671</v>
      </c>
      <c r="C388" s="7"/>
      <c r="D388" s="7"/>
      <c r="E388" s="8">
        <v>386.0</v>
      </c>
      <c r="F388" s="9" t="s">
        <v>1001</v>
      </c>
      <c r="G388" s="9" t="s">
        <v>1002</v>
      </c>
      <c r="H388" s="9" t="s">
        <v>1003</v>
      </c>
      <c r="I388" s="9" t="s">
        <v>1004</v>
      </c>
      <c r="J388" s="9" t="s">
        <v>1005</v>
      </c>
      <c r="K388" s="9" t="s">
        <v>1006</v>
      </c>
    </row>
    <row r="389">
      <c r="A389" s="10">
        <v>387.0</v>
      </c>
      <c r="B389" s="6" t="s">
        <v>672</v>
      </c>
      <c r="C389" s="7"/>
      <c r="D389" s="7"/>
      <c r="E389" s="8">
        <v>387.0</v>
      </c>
      <c r="F389" s="9" t="s">
        <v>1003</v>
      </c>
      <c r="G389" s="9" t="s">
        <v>1004</v>
      </c>
      <c r="H389" s="9" t="s">
        <v>1005</v>
      </c>
      <c r="I389" s="9" t="s">
        <v>1006</v>
      </c>
      <c r="J389" s="9" t="s">
        <v>1007</v>
      </c>
      <c r="K389" s="9" t="s">
        <v>1008</v>
      </c>
    </row>
    <row r="390">
      <c r="A390" s="10">
        <v>388.0</v>
      </c>
      <c r="B390" s="6" t="s">
        <v>673</v>
      </c>
      <c r="C390" s="7"/>
      <c r="D390" s="7"/>
      <c r="E390" s="8">
        <v>388.0</v>
      </c>
      <c r="F390" s="9" t="s">
        <v>1005</v>
      </c>
      <c r="G390" s="9" t="s">
        <v>1006</v>
      </c>
      <c r="H390" s="9" t="s">
        <v>1007</v>
      </c>
      <c r="I390" s="9" t="s">
        <v>1008</v>
      </c>
      <c r="J390" s="9" t="s">
        <v>1009</v>
      </c>
      <c r="K390" s="9" t="s">
        <v>1010</v>
      </c>
    </row>
    <row r="391">
      <c r="A391" s="10">
        <v>389.0</v>
      </c>
      <c r="B391" s="6" t="s">
        <v>674</v>
      </c>
      <c r="C391" s="7"/>
      <c r="D391" s="7"/>
      <c r="E391" s="8">
        <v>389.0</v>
      </c>
      <c r="F391" s="9" t="s">
        <v>1007</v>
      </c>
      <c r="G391" s="9" t="s">
        <v>1008</v>
      </c>
      <c r="H391" s="9" t="s">
        <v>1009</v>
      </c>
      <c r="I391" s="9" t="s">
        <v>1010</v>
      </c>
      <c r="J391" s="9" t="s">
        <v>1011</v>
      </c>
      <c r="K391" s="9" t="s">
        <v>1012</v>
      </c>
    </row>
    <row r="392">
      <c r="A392" s="10">
        <v>390.0</v>
      </c>
      <c r="B392" s="6" t="s">
        <v>675</v>
      </c>
      <c r="C392" s="7"/>
      <c r="D392" s="7"/>
      <c r="E392" s="8">
        <v>390.0</v>
      </c>
      <c r="F392" s="9" t="s">
        <v>1009</v>
      </c>
      <c r="G392" s="9" t="s">
        <v>1010</v>
      </c>
      <c r="H392" s="9" t="s">
        <v>1011</v>
      </c>
      <c r="I392" s="9" t="s">
        <v>1012</v>
      </c>
      <c r="J392" s="9" t="s">
        <v>1013</v>
      </c>
      <c r="K392" s="9" t="s">
        <v>1014</v>
      </c>
    </row>
    <row r="393">
      <c r="A393" s="10">
        <v>391.0</v>
      </c>
      <c r="B393" s="6" t="s">
        <v>676</v>
      </c>
      <c r="C393" s="7"/>
      <c r="D393" s="7"/>
      <c r="E393" s="8">
        <v>391.0</v>
      </c>
      <c r="F393" s="9" t="s">
        <v>1011</v>
      </c>
      <c r="G393" s="9" t="s">
        <v>1012</v>
      </c>
      <c r="H393" s="9" t="s">
        <v>1013</v>
      </c>
      <c r="I393" s="9" t="s">
        <v>1014</v>
      </c>
      <c r="J393" s="9" t="s">
        <v>1015</v>
      </c>
      <c r="K393" s="9" t="s">
        <v>1016</v>
      </c>
    </row>
    <row r="394">
      <c r="A394" s="10">
        <v>392.0</v>
      </c>
      <c r="B394" s="6" t="s">
        <v>677</v>
      </c>
      <c r="C394" s="7"/>
      <c r="D394" s="7"/>
      <c r="E394" s="8">
        <v>392.0</v>
      </c>
      <c r="F394" s="9" t="s">
        <v>1013</v>
      </c>
      <c r="G394" s="9" t="s">
        <v>1014</v>
      </c>
      <c r="H394" s="9" t="s">
        <v>1015</v>
      </c>
      <c r="I394" s="9" t="s">
        <v>1016</v>
      </c>
      <c r="J394" s="9" t="s">
        <v>1017</v>
      </c>
      <c r="K394" s="9" t="s">
        <v>1018</v>
      </c>
    </row>
    <row r="395">
      <c r="A395" s="10">
        <v>393.0</v>
      </c>
      <c r="B395" s="6" t="s">
        <v>678</v>
      </c>
      <c r="C395" s="7"/>
      <c r="D395" s="7"/>
      <c r="E395" s="8">
        <v>393.0</v>
      </c>
      <c r="F395" s="9" t="s">
        <v>1015</v>
      </c>
      <c r="G395" s="9" t="s">
        <v>1016</v>
      </c>
      <c r="H395" s="9" t="s">
        <v>1017</v>
      </c>
      <c r="I395" s="9" t="s">
        <v>1018</v>
      </c>
      <c r="J395" s="9" t="s">
        <v>1019</v>
      </c>
      <c r="K395" s="9" t="s">
        <v>1020</v>
      </c>
    </row>
    <row r="396">
      <c r="A396" s="10">
        <v>394.0</v>
      </c>
      <c r="B396" s="6" t="s">
        <v>679</v>
      </c>
      <c r="C396" s="7"/>
      <c r="D396" s="7"/>
      <c r="E396" s="8">
        <v>394.0</v>
      </c>
      <c r="F396" s="9" t="s">
        <v>1017</v>
      </c>
      <c r="G396" s="9" t="s">
        <v>1018</v>
      </c>
      <c r="H396" s="9" t="s">
        <v>1019</v>
      </c>
      <c r="I396" s="9" t="s">
        <v>1020</v>
      </c>
      <c r="J396" s="9" t="s">
        <v>1021</v>
      </c>
      <c r="K396" s="9" t="s">
        <v>1022</v>
      </c>
    </row>
    <row r="397">
      <c r="A397" s="10">
        <v>395.0</v>
      </c>
      <c r="B397" s="6" t="s">
        <v>680</v>
      </c>
      <c r="C397" s="7"/>
      <c r="D397" s="7"/>
      <c r="E397" s="8">
        <v>395.0</v>
      </c>
      <c r="F397" s="9" t="s">
        <v>1019</v>
      </c>
      <c r="G397" s="9" t="s">
        <v>1020</v>
      </c>
      <c r="H397" s="9" t="s">
        <v>1021</v>
      </c>
      <c r="I397" s="9" t="s">
        <v>1022</v>
      </c>
      <c r="J397" s="9" t="s">
        <v>1023</v>
      </c>
      <c r="K397" s="9" t="s">
        <v>1024</v>
      </c>
    </row>
    <row r="398">
      <c r="A398" s="10">
        <v>396.0</v>
      </c>
      <c r="B398" s="6" t="s">
        <v>681</v>
      </c>
      <c r="C398" s="7"/>
      <c r="D398" s="7"/>
      <c r="E398" s="8">
        <v>396.0</v>
      </c>
      <c r="F398" s="9" t="s">
        <v>1021</v>
      </c>
      <c r="G398" s="9" t="s">
        <v>1022</v>
      </c>
      <c r="H398" s="9" t="s">
        <v>1023</v>
      </c>
      <c r="I398" s="9" t="s">
        <v>1024</v>
      </c>
      <c r="J398" s="9" t="s">
        <v>1025</v>
      </c>
      <c r="K398" s="9" t="s">
        <v>1026</v>
      </c>
    </row>
    <row r="399">
      <c r="A399" s="10">
        <v>397.0</v>
      </c>
      <c r="B399" s="6" t="s">
        <v>682</v>
      </c>
      <c r="C399" s="7"/>
      <c r="D399" s="7"/>
      <c r="E399" s="8">
        <v>397.0</v>
      </c>
      <c r="F399" s="8">
        <v>0.0</v>
      </c>
      <c r="G399" s="8">
        <v>0.0</v>
      </c>
      <c r="H399" s="8">
        <v>0.0</v>
      </c>
      <c r="I399" s="8">
        <v>0.0</v>
      </c>
      <c r="J399" s="8">
        <v>0.0</v>
      </c>
      <c r="K399" s="8">
        <v>0.0</v>
      </c>
    </row>
    <row r="400">
      <c r="A400" s="10">
        <v>398.0</v>
      </c>
      <c r="B400" s="6" t="s">
        <v>683</v>
      </c>
      <c r="C400" s="7"/>
      <c r="D400" s="7"/>
      <c r="E400" s="8">
        <v>398.0</v>
      </c>
      <c r="F400" s="8">
        <v>0.0</v>
      </c>
      <c r="G400" s="8">
        <v>0.0</v>
      </c>
      <c r="H400" s="8">
        <v>0.0</v>
      </c>
      <c r="I400" s="8">
        <v>0.0</v>
      </c>
      <c r="J400" s="8">
        <v>0.0</v>
      </c>
      <c r="K400" s="8">
        <v>0.0</v>
      </c>
    </row>
    <row r="401">
      <c r="A401" s="10">
        <v>399.0</v>
      </c>
      <c r="B401" s="6" t="s">
        <v>684</v>
      </c>
      <c r="C401" s="7"/>
      <c r="D401" s="7"/>
      <c r="E401" s="8">
        <v>399.0</v>
      </c>
      <c r="F401" s="8">
        <v>0.0</v>
      </c>
      <c r="G401" s="8">
        <v>0.0</v>
      </c>
      <c r="H401" s="8">
        <v>0.0</v>
      </c>
      <c r="I401" s="8">
        <v>0.0</v>
      </c>
      <c r="J401" s="8">
        <v>0.0</v>
      </c>
      <c r="K401" s="8">
        <v>0.0</v>
      </c>
    </row>
    <row r="402">
      <c r="A402" s="10">
        <v>400.0</v>
      </c>
      <c r="B402" s="6" t="s">
        <v>685</v>
      </c>
      <c r="C402" s="7"/>
      <c r="D402" s="7"/>
      <c r="E402" s="8">
        <v>400.0</v>
      </c>
      <c r="F402" s="8">
        <v>0.0</v>
      </c>
      <c r="G402" s="8">
        <v>0.0</v>
      </c>
      <c r="H402" s="8">
        <v>0.0</v>
      </c>
      <c r="I402" s="8">
        <v>0.0</v>
      </c>
      <c r="J402" s="8">
        <v>0.0</v>
      </c>
      <c r="K402" s="8">
        <v>0.0</v>
      </c>
    </row>
    <row r="403">
      <c r="A403" s="10">
        <v>401.0</v>
      </c>
      <c r="B403" s="6" t="s">
        <v>686</v>
      </c>
      <c r="C403" s="7"/>
      <c r="D403" s="7"/>
      <c r="E403" s="8">
        <v>401.0</v>
      </c>
      <c r="F403" s="9" t="str">
        <f t="array" ref="F403:K414">"input[25][" &amp; (COLUMN(A65:F65)-COLUMN(A65) + 2*(ROW(O68:O79)-ROW(O68))) &amp; "]"</f>
        <v>input[25][0]</v>
      </c>
      <c r="G403" s="9" t="s">
        <v>1027</v>
      </c>
      <c r="H403" s="9" t="s">
        <v>1028</v>
      </c>
      <c r="I403" s="9" t="s">
        <v>1029</v>
      </c>
      <c r="J403" s="9" t="s">
        <v>1030</v>
      </c>
      <c r="K403" s="9" t="s">
        <v>1031</v>
      </c>
    </row>
    <row r="404">
      <c r="A404" s="10">
        <v>402.0</v>
      </c>
      <c r="B404" s="6" t="s">
        <v>687</v>
      </c>
      <c r="C404" s="7"/>
      <c r="D404" s="7"/>
      <c r="E404" s="8">
        <v>402.0</v>
      </c>
      <c r="F404" s="9" t="s">
        <v>1028</v>
      </c>
      <c r="G404" s="9" t="s">
        <v>1029</v>
      </c>
      <c r="H404" s="9" t="s">
        <v>1030</v>
      </c>
      <c r="I404" s="9" t="s">
        <v>1031</v>
      </c>
      <c r="J404" s="9" t="s">
        <v>1032</v>
      </c>
      <c r="K404" s="9" t="s">
        <v>1033</v>
      </c>
    </row>
    <row r="405">
      <c r="A405" s="10">
        <v>403.0</v>
      </c>
      <c r="B405" s="6" t="s">
        <v>688</v>
      </c>
      <c r="C405" s="7"/>
      <c r="D405" s="7"/>
      <c r="E405" s="8">
        <v>403.0</v>
      </c>
      <c r="F405" s="9" t="s">
        <v>1030</v>
      </c>
      <c r="G405" s="9" t="s">
        <v>1031</v>
      </c>
      <c r="H405" s="9" t="s">
        <v>1032</v>
      </c>
      <c r="I405" s="9" t="s">
        <v>1033</v>
      </c>
      <c r="J405" s="9" t="s">
        <v>1034</v>
      </c>
      <c r="K405" s="9" t="s">
        <v>1035</v>
      </c>
    </row>
    <row r="406">
      <c r="A406" s="10">
        <v>404.0</v>
      </c>
      <c r="B406" s="6" t="s">
        <v>689</v>
      </c>
      <c r="C406" s="7"/>
      <c r="D406" s="7"/>
      <c r="E406" s="8">
        <v>404.0</v>
      </c>
      <c r="F406" s="9" t="s">
        <v>1032</v>
      </c>
      <c r="G406" s="9" t="s">
        <v>1033</v>
      </c>
      <c r="H406" s="9" t="s">
        <v>1034</v>
      </c>
      <c r="I406" s="9" t="s">
        <v>1035</v>
      </c>
      <c r="J406" s="9" t="s">
        <v>1036</v>
      </c>
      <c r="K406" s="9" t="s">
        <v>1037</v>
      </c>
    </row>
    <row r="407">
      <c r="A407" s="10">
        <v>405.0</v>
      </c>
      <c r="B407" s="6" t="s">
        <v>690</v>
      </c>
      <c r="C407" s="7"/>
      <c r="D407" s="7"/>
      <c r="E407" s="8">
        <v>405.0</v>
      </c>
      <c r="F407" s="9" t="s">
        <v>1034</v>
      </c>
      <c r="G407" s="9" t="s">
        <v>1035</v>
      </c>
      <c r="H407" s="9" t="s">
        <v>1036</v>
      </c>
      <c r="I407" s="9" t="s">
        <v>1037</v>
      </c>
      <c r="J407" s="9" t="s">
        <v>1038</v>
      </c>
      <c r="K407" s="9" t="s">
        <v>1039</v>
      </c>
    </row>
    <row r="408">
      <c r="A408" s="10">
        <v>406.0</v>
      </c>
      <c r="B408" s="6" t="s">
        <v>691</v>
      </c>
      <c r="C408" s="7"/>
      <c r="D408" s="7"/>
      <c r="E408" s="8">
        <v>406.0</v>
      </c>
      <c r="F408" s="9" t="s">
        <v>1036</v>
      </c>
      <c r="G408" s="9" t="s">
        <v>1037</v>
      </c>
      <c r="H408" s="9" t="s">
        <v>1038</v>
      </c>
      <c r="I408" s="9" t="s">
        <v>1039</v>
      </c>
      <c r="J408" s="9" t="s">
        <v>1040</v>
      </c>
      <c r="K408" s="9" t="s">
        <v>1041</v>
      </c>
    </row>
    <row r="409">
      <c r="A409" s="10">
        <v>407.0</v>
      </c>
      <c r="B409" s="6" t="s">
        <v>692</v>
      </c>
      <c r="C409" s="7"/>
      <c r="D409" s="7"/>
      <c r="E409" s="8">
        <v>407.0</v>
      </c>
      <c r="F409" s="9" t="s">
        <v>1038</v>
      </c>
      <c r="G409" s="9" t="s">
        <v>1039</v>
      </c>
      <c r="H409" s="9" t="s">
        <v>1040</v>
      </c>
      <c r="I409" s="9" t="s">
        <v>1041</v>
      </c>
      <c r="J409" s="9" t="s">
        <v>1042</v>
      </c>
      <c r="K409" s="9" t="s">
        <v>1043</v>
      </c>
    </row>
    <row r="410">
      <c r="A410" s="10">
        <v>408.0</v>
      </c>
      <c r="B410" s="6" t="s">
        <v>693</v>
      </c>
      <c r="C410" s="7"/>
      <c r="D410" s="7"/>
      <c r="E410" s="8">
        <v>408.0</v>
      </c>
      <c r="F410" s="9" t="s">
        <v>1040</v>
      </c>
      <c r="G410" s="9" t="s">
        <v>1041</v>
      </c>
      <c r="H410" s="9" t="s">
        <v>1042</v>
      </c>
      <c r="I410" s="9" t="s">
        <v>1043</v>
      </c>
      <c r="J410" s="9" t="s">
        <v>1044</v>
      </c>
      <c r="K410" s="9" t="s">
        <v>1045</v>
      </c>
    </row>
    <row r="411">
      <c r="A411" s="10">
        <v>409.0</v>
      </c>
      <c r="B411" s="6" t="s">
        <v>694</v>
      </c>
      <c r="C411" s="7"/>
      <c r="D411" s="7"/>
      <c r="E411" s="8">
        <v>409.0</v>
      </c>
      <c r="F411" s="9" t="s">
        <v>1042</v>
      </c>
      <c r="G411" s="9" t="s">
        <v>1043</v>
      </c>
      <c r="H411" s="9" t="s">
        <v>1044</v>
      </c>
      <c r="I411" s="9" t="s">
        <v>1045</v>
      </c>
      <c r="J411" s="9" t="s">
        <v>1046</v>
      </c>
      <c r="K411" s="9" t="s">
        <v>1047</v>
      </c>
    </row>
    <row r="412">
      <c r="A412" s="10">
        <v>410.0</v>
      </c>
      <c r="B412" s="6" t="s">
        <v>695</v>
      </c>
      <c r="C412" s="7"/>
      <c r="D412" s="7"/>
      <c r="E412" s="8">
        <v>410.0</v>
      </c>
      <c r="F412" s="9" t="s">
        <v>1044</v>
      </c>
      <c r="G412" s="9" t="s">
        <v>1045</v>
      </c>
      <c r="H412" s="9" t="s">
        <v>1046</v>
      </c>
      <c r="I412" s="9" t="s">
        <v>1047</v>
      </c>
      <c r="J412" s="9" t="s">
        <v>1048</v>
      </c>
      <c r="K412" s="9" t="s">
        <v>1049</v>
      </c>
    </row>
    <row r="413">
      <c r="A413" s="10">
        <v>411.0</v>
      </c>
      <c r="B413" s="6" t="s">
        <v>696</v>
      </c>
      <c r="C413" s="7"/>
      <c r="D413" s="7"/>
      <c r="E413" s="8">
        <v>411.0</v>
      </c>
      <c r="F413" s="9" t="s">
        <v>1046</v>
      </c>
      <c r="G413" s="9" t="s">
        <v>1047</v>
      </c>
      <c r="H413" s="9" t="s">
        <v>1048</v>
      </c>
      <c r="I413" s="9" t="s">
        <v>1049</v>
      </c>
      <c r="J413" s="9" t="s">
        <v>1050</v>
      </c>
      <c r="K413" s="9" t="s">
        <v>1051</v>
      </c>
    </row>
    <row r="414">
      <c r="A414" s="10">
        <v>412.0</v>
      </c>
      <c r="C414" s="7"/>
      <c r="D414" s="7"/>
      <c r="E414" s="8">
        <v>412.0</v>
      </c>
      <c r="F414" s="9" t="s">
        <v>1048</v>
      </c>
      <c r="G414" s="9" t="s">
        <v>1049</v>
      </c>
      <c r="H414" s="9" t="s">
        <v>1050</v>
      </c>
      <c r="I414" s="9" t="s">
        <v>1051</v>
      </c>
      <c r="J414" s="9" t="s">
        <v>1052</v>
      </c>
      <c r="K414" s="9" t="s">
        <v>1053</v>
      </c>
    </row>
    <row r="415">
      <c r="A415" s="10">
        <v>413.0</v>
      </c>
      <c r="C415" s="7"/>
      <c r="D415" s="7"/>
      <c r="E415" s="8">
        <v>413.0</v>
      </c>
      <c r="F415" s="8">
        <v>0.0</v>
      </c>
      <c r="G415" s="8">
        <v>0.0</v>
      </c>
      <c r="H415" s="8">
        <v>0.0</v>
      </c>
      <c r="I415" s="8">
        <v>0.0</v>
      </c>
      <c r="J415" s="8">
        <v>0.0</v>
      </c>
      <c r="K415" s="8">
        <v>0.0</v>
      </c>
    </row>
    <row r="416">
      <c r="A416" s="10">
        <v>414.0</v>
      </c>
      <c r="C416" s="7"/>
      <c r="D416" s="7"/>
      <c r="E416" s="8">
        <v>414.0</v>
      </c>
      <c r="F416" s="8">
        <v>0.0</v>
      </c>
      <c r="G416" s="8">
        <v>0.0</v>
      </c>
      <c r="H416" s="8">
        <v>0.0</v>
      </c>
      <c r="I416" s="8">
        <v>0.0</v>
      </c>
      <c r="J416" s="8">
        <v>0.0</v>
      </c>
      <c r="K416" s="8">
        <v>0.0</v>
      </c>
    </row>
    <row r="417">
      <c r="A417" s="10">
        <v>415.0</v>
      </c>
      <c r="C417" s="7"/>
      <c r="D417" s="7"/>
      <c r="E417" s="8">
        <v>415.0</v>
      </c>
      <c r="F417" s="8">
        <v>0.0</v>
      </c>
      <c r="G417" s="8">
        <v>0.0</v>
      </c>
      <c r="H417" s="8">
        <v>0.0</v>
      </c>
      <c r="I417" s="8">
        <v>0.0</v>
      </c>
      <c r="J417" s="8">
        <v>0.0</v>
      </c>
      <c r="K417" s="8">
        <v>0.0</v>
      </c>
    </row>
    <row r="418">
      <c r="A418" s="10">
        <v>416.0</v>
      </c>
      <c r="B418" s="6" t="s">
        <v>1054</v>
      </c>
      <c r="C418" s="7"/>
      <c r="D418" s="7"/>
      <c r="E418" s="8">
        <v>416.0</v>
      </c>
      <c r="F418" s="8">
        <v>0.0</v>
      </c>
      <c r="G418" s="8">
        <v>0.0</v>
      </c>
      <c r="H418" s="8">
        <v>0.0</v>
      </c>
      <c r="I418" s="8">
        <v>0.0</v>
      </c>
      <c r="J418" s="8">
        <v>0.0</v>
      </c>
      <c r="K418" s="8">
        <v>0.0</v>
      </c>
    </row>
    <row r="419">
      <c r="A419" s="10">
        <v>417.0</v>
      </c>
      <c r="B419" s="6" t="s">
        <v>697</v>
      </c>
      <c r="C419" s="7"/>
      <c r="D419" s="7"/>
      <c r="E419" s="8">
        <v>417.0</v>
      </c>
      <c r="F419" s="9" t="str">
        <f t="array" ref="F419:K430">"input[26][" &amp; (COLUMN(A81:F81)-COLUMN(A81) + 2*(ROW(O84:O95)-ROW(O84))) &amp; "]"</f>
        <v>input[26][0]</v>
      </c>
      <c r="G419" s="9" t="s">
        <v>1055</v>
      </c>
      <c r="H419" s="9" t="s">
        <v>1056</v>
      </c>
      <c r="I419" s="9" t="s">
        <v>1057</v>
      </c>
      <c r="J419" s="9" t="s">
        <v>1058</v>
      </c>
      <c r="K419" s="9" t="s">
        <v>1059</v>
      </c>
    </row>
    <row r="420">
      <c r="A420" s="10">
        <v>418.0</v>
      </c>
      <c r="B420" s="6" t="s">
        <v>698</v>
      </c>
      <c r="C420" s="7"/>
      <c r="D420" s="7"/>
      <c r="E420" s="8">
        <v>418.0</v>
      </c>
      <c r="F420" s="9" t="s">
        <v>1056</v>
      </c>
      <c r="G420" s="9" t="s">
        <v>1057</v>
      </c>
      <c r="H420" s="9" t="s">
        <v>1058</v>
      </c>
      <c r="I420" s="9" t="s">
        <v>1059</v>
      </c>
      <c r="J420" s="9" t="s">
        <v>1060</v>
      </c>
      <c r="K420" s="9" t="s">
        <v>1061</v>
      </c>
    </row>
    <row r="421">
      <c r="A421" s="10">
        <v>419.0</v>
      </c>
      <c r="B421" s="6" t="s">
        <v>699</v>
      </c>
      <c r="C421" s="7"/>
      <c r="D421" s="7"/>
      <c r="E421" s="8">
        <v>419.0</v>
      </c>
      <c r="F421" s="9" t="s">
        <v>1058</v>
      </c>
      <c r="G421" s="9" t="s">
        <v>1059</v>
      </c>
      <c r="H421" s="9" t="s">
        <v>1060</v>
      </c>
      <c r="I421" s="9" t="s">
        <v>1061</v>
      </c>
      <c r="J421" s="9" t="s">
        <v>1062</v>
      </c>
      <c r="K421" s="9" t="s">
        <v>1063</v>
      </c>
    </row>
    <row r="422">
      <c r="A422" s="10">
        <v>420.0</v>
      </c>
      <c r="B422" s="6" t="s">
        <v>700</v>
      </c>
      <c r="C422" s="7"/>
      <c r="D422" s="7"/>
      <c r="E422" s="8">
        <v>420.0</v>
      </c>
      <c r="F422" s="9" t="s">
        <v>1060</v>
      </c>
      <c r="G422" s="9" t="s">
        <v>1061</v>
      </c>
      <c r="H422" s="9" t="s">
        <v>1062</v>
      </c>
      <c r="I422" s="9" t="s">
        <v>1063</v>
      </c>
      <c r="J422" s="9" t="s">
        <v>1064</v>
      </c>
      <c r="K422" s="9" t="s">
        <v>1065</v>
      </c>
    </row>
    <row r="423">
      <c r="A423" s="10">
        <v>421.0</v>
      </c>
      <c r="B423" s="6" t="s">
        <v>701</v>
      </c>
      <c r="C423" s="7"/>
      <c r="D423" s="7"/>
      <c r="E423" s="8">
        <v>421.0</v>
      </c>
      <c r="F423" s="9" t="s">
        <v>1062</v>
      </c>
      <c r="G423" s="9" t="s">
        <v>1063</v>
      </c>
      <c r="H423" s="9" t="s">
        <v>1064</v>
      </c>
      <c r="I423" s="9" t="s">
        <v>1065</v>
      </c>
      <c r="J423" s="9" t="s">
        <v>1066</v>
      </c>
      <c r="K423" s="9" t="s">
        <v>1067</v>
      </c>
    </row>
    <row r="424">
      <c r="A424" s="10">
        <v>422.0</v>
      </c>
      <c r="B424" s="6" t="s">
        <v>702</v>
      </c>
      <c r="C424" s="7"/>
      <c r="D424" s="7"/>
      <c r="E424" s="8">
        <v>422.0</v>
      </c>
      <c r="F424" s="9" t="s">
        <v>1064</v>
      </c>
      <c r="G424" s="9" t="s">
        <v>1065</v>
      </c>
      <c r="H424" s="9" t="s">
        <v>1066</v>
      </c>
      <c r="I424" s="9" t="s">
        <v>1067</v>
      </c>
      <c r="J424" s="9" t="s">
        <v>1068</v>
      </c>
      <c r="K424" s="9" t="s">
        <v>1069</v>
      </c>
    </row>
    <row r="425">
      <c r="A425" s="10">
        <v>423.0</v>
      </c>
      <c r="B425" s="6" t="s">
        <v>703</v>
      </c>
      <c r="C425" s="7"/>
      <c r="D425" s="7"/>
      <c r="E425" s="8">
        <v>423.0</v>
      </c>
      <c r="F425" s="9" t="s">
        <v>1066</v>
      </c>
      <c r="G425" s="9" t="s">
        <v>1067</v>
      </c>
      <c r="H425" s="9" t="s">
        <v>1068</v>
      </c>
      <c r="I425" s="9" t="s">
        <v>1069</v>
      </c>
      <c r="J425" s="9" t="s">
        <v>1070</v>
      </c>
      <c r="K425" s="9" t="s">
        <v>1071</v>
      </c>
    </row>
    <row r="426">
      <c r="A426" s="10">
        <v>424.0</v>
      </c>
      <c r="B426" s="6" t="s">
        <v>704</v>
      </c>
      <c r="C426" s="7"/>
      <c r="D426" s="7"/>
      <c r="E426" s="8">
        <v>424.0</v>
      </c>
      <c r="F426" s="9" t="s">
        <v>1068</v>
      </c>
      <c r="G426" s="9" t="s">
        <v>1069</v>
      </c>
      <c r="H426" s="9" t="s">
        <v>1070</v>
      </c>
      <c r="I426" s="9" t="s">
        <v>1071</v>
      </c>
      <c r="J426" s="9" t="s">
        <v>1072</v>
      </c>
      <c r="K426" s="9" t="s">
        <v>1073</v>
      </c>
    </row>
    <row r="427">
      <c r="A427" s="10">
        <v>425.0</v>
      </c>
      <c r="B427" s="6" t="s">
        <v>705</v>
      </c>
      <c r="C427" s="7"/>
      <c r="D427" s="7"/>
      <c r="E427" s="8">
        <v>425.0</v>
      </c>
      <c r="F427" s="9" t="s">
        <v>1070</v>
      </c>
      <c r="G427" s="9" t="s">
        <v>1071</v>
      </c>
      <c r="H427" s="9" t="s">
        <v>1072</v>
      </c>
      <c r="I427" s="9" t="s">
        <v>1073</v>
      </c>
      <c r="J427" s="9" t="s">
        <v>1074</v>
      </c>
      <c r="K427" s="9" t="s">
        <v>1075</v>
      </c>
    </row>
    <row r="428">
      <c r="A428" s="10">
        <v>426.0</v>
      </c>
      <c r="B428" s="6" t="s">
        <v>706</v>
      </c>
      <c r="C428" s="7"/>
      <c r="D428" s="7"/>
      <c r="E428" s="8">
        <v>426.0</v>
      </c>
      <c r="F428" s="9" t="s">
        <v>1072</v>
      </c>
      <c r="G428" s="9" t="s">
        <v>1073</v>
      </c>
      <c r="H428" s="9" t="s">
        <v>1074</v>
      </c>
      <c r="I428" s="9" t="s">
        <v>1075</v>
      </c>
      <c r="J428" s="9" t="s">
        <v>1076</v>
      </c>
      <c r="K428" s="9" t="s">
        <v>1077</v>
      </c>
    </row>
    <row r="429">
      <c r="A429" s="10">
        <v>427.0</v>
      </c>
      <c r="B429" s="6" t="s">
        <v>707</v>
      </c>
      <c r="C429" s="7"/>
      <c r="D429" s="7"/>
      <c r="E429" s="8">
        <v>427.0</v>
      </c>
      <c r="F429" s="9" t="s">
        <v>1074</v>
      </c>
      <c r="G429" s="9" t="s">
        <v>1075</v>
      </c>
      <c r="H429" s="9" t="s">
        <v>1076</v>
      </c>
      <c r="I429" s="9" t="s">
        <v>1077</v>
      </c>
      <c r="J429" s="9" t="s">
        <v>1078</v>
      </c>
      <c r="K429" s="9" t="s">
        <v>1079</v>
      </c>
    </row>
    <row r="430">
      <c r="A430" s="10">
        <v>428.0</v>
      </c>
      <c r="B430" s="6" t="s">
        <v>708</v>
      </c>
      <c r="C430" s="7"/>
      <c r="D430" s="7"/>
      <c r="E430" s="8">
        <v>428.0</v>
      </c>
      <c r="F430" s="9" t="s">
        <v>1076</v>
      </c>
      <c r="G430" s="9" t="s">
        <v>1077</v>
      </c>
      <c r="H430" s="9" t="s">
        <v>1078</v>
      </c>
      <c r="I430" s="9" t="s">
        <v>1079</v>
      </c>
      <c r="J430" s="9" t="s">
        <v>1080</v>
      </c>
      <c r="K430" s="9" t="s">
        <v>1081</v>
      </c>
    </row>
    <row r="431">
      <c r="A431" s="10">
        <v>429.0</v>
      </c>
      <c r="B431" s="6" t="s">
        <v>709</v>
      </c>
      <c r="C431" s="7"/>
      <c r="D431" s="7"/>
      <c r="E431" s="8">
        <v>429.0</v>
      </c>
      <c r="F431" s="8">
        <v>0.0</v>
      </c>
      <c r="G431" s="8">
        <v>0.0</v>
      </c>
      <c r="H431" s="8">
        <v>0.0</v>
      </c>
      <c r="I431" s="8">
        <v>0.0</v>
      </c>
      <c r="J431" s="8">
        <v>0.0</v>
      </c>
      <c r="K431" s="8">
        <v>0.0</v>
      </c>
    </row>
    <row r="432">
      <c r="A432" s="10">
        <v>430.0</v>
      </c>
      <c r="B432" s="6" t="s">
        <v>710</v>
      </c>
      <c r="C432" s="7"/>
      <c r="D432" s="7"/>
      <c r="E432" s="8">
        <v>430.0</v>
      </c>
      <c r="F432" s="8">
        <v>0.0</v>
      </c>
      <c r="G432" s="8">
        <v>0.0</v>
      </c>
      <c r="H432" s="8">
        <v>0.0</v>
      </c>
      <c r="I432" s="8">
        <v>0.0</v>
      </c>
      <c r="J432" s="8">
        <v>0.0</v>
      </c>
      <c r="K432" s="8">
        <v>0.0</v>
      </c>
    </row>
    <row r="433">
      <c r="A433" s="10">
        <v>431.0</v>
      </c>
      <c r="B433" s="6" t="s">
        <v>711</v>
      </c>
      <c r="C433" s="7"/>
      <c r="D433" s="7"/>
      <c r="E433" s="8">
        <v>431.0</v>
      </c>
      <c r="F433" s="8">
        <v>0.0</v>
      </c>
      <c r="G433" s="8">
        <v>0.0</v>
      </c>
      <c r="H433" s="8">
        <v>0.0</v>
      </c>
      <c r="I433" s="8">
        <v>0.0</v>
      </c>
      <c r="J433" s="8">
        <v>0.0</v>
      </c>
      <c r="K433" s="8">
        <v>0.0</v>
      </c>
    </row>
    <row r="434">
      <c r="A434" s="10">
        <v>432.0</v>
      </c>
      <c r="B434" s="6" t="s">
        <v>712</v>
      </c>
      <c r="C434" s="7"/>
      <c r="D434" s="7"/>
      <c r="E434" s="8">
        <v>432.0</v>
      </c>
      <c r="F434" s="8">
        <v>0.0</v>
      </c>
      <c r="G434" s="8">
        <v>0.0</v>
      </c>
      <c r="H434" s="8">
        <v>0.0</v>
      </c>
      <c r="I434" s="8">
        <v>0.0</v>
      </c>
      <c r="J434" s="8">
        <v>0.0</v>
      </c>
      <c r="K434" s="8">
        <v>0.0</v>
      </c>
    </row>
    <row r="435">
      <c r="A435" s="10">
        <v>433.0</v>
      </c>
      <c r="B435" s="6" t="s">
        <v>713</v>
      </c>
      <c r="C435" s="7"/>
      <c r="D435" s="7"/>
      <c r="E435" s="8">
        <v>433.0</v>
      </c>
      <c r="F435" s="9" t="str">
        <f t="array" ref="F435:K446">"input[27][" &amp; (COLUMN(A98:F98)-COLUMN(A98) + 2*(ROW(O101:O112)-ROW(O101))) &amp; "]"</f>
        <v>input[27][0]</v>
      </c>
      <c r="G435" s="9" t="s">
        <v>1082</v>
      </c>
      <c r="H435" s="9" t="s">
        <v>1083</v>
      </c>
      <c r="I435" s="9" t="s">
        <v>1084</v>
      </c>
      <c r="J435" s="9" t="s">
        <v>1085</v>
      </c>
      <c r="K435" s="9" t="s">
        <v>1086</v>
      </c>
    </row>
    <row r="436">
      <c r="A436" s="10">
        <v>434.0</v>
      </c>
      <c r="B436" s="6" t="s">
        <v>714</v>
      </c>
      <c r="C436" s="7"/>
      <c r="D436" s="7"/>
      <c r="E436" s="8">
        <v>434.0</v>
      </c>
      <c r="F436" s="9" t="s">
        <v>1083</v>
      </c>
      <c r="G436" s="9" t="s">
        <v>1084</v>
      </c>
      <c r="H436" s="9" t="s">
        <v>1085</v>
      </c>
      <c r="I436" s="9" t="s">
        <v>1086</v>
      </c>
      <c r="J436" s="9" t="s">
        <v>1087</v>
      </c>
      <c r="K436" s="9" t="s">
        <v>1088</v>
      </c>
    </row>
    <row r="437">
      <c r="A437" s="10">
        <v>435.0</v>
      </c>
      <c r="B437" s="6" t="s">
        <v>715</v>
      </c>
      <c r="C437" s="7"/>
      <c r="D437" s="7"/>
      <c r="E437" s="8">
        <v>435.0</v>
      </c>
      <c r="F437" s="9" t="s">
        <v>1085</v>
      </c>
      <c r="G437" s="9" t="s">
        <v>1086</v>
      </c>
      <c r="H437" s="9" t="s">
        <v>1087</v>
      </c>
      <c r="I437" s="9" t="s">
        <v>1088</v>
      </c>
      <c r="J437" s="9" t="s">
        <v>1089</v>
      </c>
      <c r="K437" s="9" t="s">
        <v>1090</v>
      </c>
    </row>
    <row r="438">
      <c r="A438" s="10">
        <v>436.0</v>
      </c>
      <c r="B438" s="6" t="s">
        <v>716</v>
      </c>
      <c r="C438" s="7"/>
      <c r="D438" s="7"/>
      <c r="E438" s="8">
        <v>436.0</v>
      </c>
      <c r="F438" s="9" t="s">
        <v>1087</v>
      </c>
      <c r="G438" s="9" t="s">
        <v>1088</v>
      </c>
      <c r="H438" s="9" t="s">
        <v>1089</v>
      </c>
      <c r="I438" s="9" t="s">
        <v>1090</v>
      </c>
      <c r="J438" s="9" t="s">
        <v>1091</v>
      </c>
      <c r="K438" s="9" t="s">
        <v>1092</v>
      </c>
    </row>
    <row r="439">
      <c r="A439" s="10">
        <v>437.0</v>
      </c>
      <c r="B439" s="6" t="s">
        <v>717</v>
      </c>
      <c r="C439" s="7"/>
      <c r="D439" s="7"/>
      <c r="E439" s="8">
        <v>437.0</v>
      </c>
      <c r="F439" s="9" t="s">
        <v>1089</v>
      </c>
      <c r="G439" s="9" t="s">
        <v>1090</v>
      </c>
      <c r="H439" s="9" t="s">
        <v>1091</v>
      </c>
      <c r="I439" s="9" t="s">
        <v>1092</v>
      </c>
      <c r="J439" s="9" t="s">
        <v>1093</v>
      </c>
      <c r="K439" s="9" t="s">
        <v>1094</v>
      </c>
    </row>
    <row r="440">
      <c r="A440" s="10">
        <v>438.0</v>
      </c>
      <c r="B440" s="6" t="s">
        <v>718</v>
      </c>
      <c r="C440" s="7"/>
      <c r="D440" s="7"/>
      <c r="E440" s="8">
        <v>438.0</v>
      </c>
      <c r="F440" s="9" t="s">
        <v>1091</v>
      </c>
      <c r="G440" s="9" t="s">
        <v>1092</v>
      </c>
      <c r="H440" s="9" t="s">
        <v>1093</v>
      </c>
      <c r="I440" s="9" t="s">
        <v>1094</v>
      </c>
      <c r="J440" s="9" t="s">
        <v>1095</v>
      </c>
      <c r="K440" s="9" t="s">
        <v>1096</v>
      </c>
    </row>
    <row r="441">
      <c r="A441" s="10">
        <v>439.0</v>
      </c>
      <c r="B441" s="6" t="s">
        <v>719</v>
      </c>
      <c r="C441" s="7"/>
      <c r="D441" s="7"/>
      <c r="E441" s="8">
        <v>439.0</v>
      </c>
      <c r="F441" s="9" t="s">
        <v>1093</v>
      </c>
      <c r="G441" s="9" t="s">
        <v>1094</v>
      </c>
      <c r="H441" s="9" t="s">
        <v>1095</v>
      </c>
      <c r="I441" s="9" t="s">
        <v>1096</v>
      </c>
      <c r="J441" s="9" t="s">
        <v>1097</v>
      </c>
      <c r="K441" s="9" t="s">
        <v>1098</v>
      </c>
    </row>
    <row r="442">
      <c r="A442" s="10">
        <v>440.0</v>
      </c>
      <c r="B442" s="6" t="s">
        <v>720</v>
      </c>
      <c r="C442" s="7"/>
      <c r="D442" s="7"/>
      <c r="E442" s="8">
        <v>440.0</v>
      </c>
      <c r="F442" s="9" t="s">
        <v>1095</v>
      </c>
      <c r="G442" s="9" t="s">
        <v>1096</v>
      </c>
      <c r="H442" s="9" t="s">
        <v>1097</v>
      </c>
      <c r="I442" s="9" t="s">
        <v>1098</v>
      </c>
      <c r="J442" s="9" t="s">
        <v>1099</v>
      </c>
      <c r="K442" s="9" t="s">
        <v>1100</v>
      </c>
    </row>
    <row r="443">
      <c r="A443" s="10">
        <v>441.0</v>
      </c>
      <c r="B443" s="6" t="s">
        <v>721</v>
      </c>
      <c r="C443" s="7"/>
      <c r="D443" s="7"/>
      <c r="E443" s="8">
        <v>441.0</v>
      </c>
      <c r="F443" s="9" t="s">
        <v>1097</v>
      </c>
      <c r="G443" s="9" t="s">
        <v>1098</v>
      </c>
      <c r="H443" s="9" t="s">
        <v>1099</v>
      </c>
      <c r="I443" s="9" t="s">
        <v>1100</v>
      </c>
      <c r="J443" s="9" t="s">
        <v>1101</v>
      </c>
      <c r="K443" s="9" t="s">
        <v>1102</v>
      </c>
    </row>
    <row r="444">
      <c r="A444" s="10">
        <v>442.0</v>
      </c>
      <c r="B444" s="6" t="s">
        <v>722</v>
      </c>
      <c r="C444" s="7"/>
      <c r="D444" s="7"/>
      <c r="E444" s="8">
        <v>442.0</v>
      </c>
      <c r="F444" s="9" t="s">
        <v>1099</v>
      </c>
      <c r="G444" s="9" t="s">
        <v>1100</v>
      </c>
      <c r="H444" s="9" t="s">
        <v>1101</v>
      </c>
      <c r="I444" s="9" t="s">
        <v>1102</v>
      </c>
      <c r="J444" s="9" t="s">
        <v>1103</v>
      </c>
      <c r="K444" s="9" t="s">
        <v>1104</v>
      </c>
    </row>
    <row r="445">
      <c r="A445" s="10">
        <v>443.0</v>
      </c>
      <c r="B445" s="6" t="s">
        <v>723</v>
      </c>
      <c r="C445" s="7"/>
      <c r="D445" s="7"/>
      <c r="E445" s="8">
        <v>443.0</v>
      </c>
      <c r="F445" s="9" t="s">
        <v>1101</v>
      </c>
      <c r="G445" s="9" t="s">
        <v>1102</v>
      </c>
      <c r="H445" s="9" t="s">
        <v>1103</v>
      </c>
      <c r="I445" s="9" t="s">
        <v>1104</v>
      </c>
      <c r="J445" s="9" t="s">
        <v>1105</v>
      </c>
      <c r="K445" s="9" t="s">
        <v>1106</v>
      </c>
    </row>
    <row r="446">
      <c r="A446" s="10">
        <v>444.0</v>
      </c>
      <c r="C446" s="7"/>
      <c r="D446" s="7"/>
      <c r="E446" s="8">
        <v>444.0</v>
      </c>
      <c r="F446" s="9" t="s">
        <v>1103</v>
      </c>
      <c r="G446" s="9" t="s">
        <v>1104</v>
      </c>
      <c r="H446" s="9" t="s">
        <v>1105</v>
      </c>
      <c r="I446" s="9" t="s">
        <v>1106</v>
      </c>
      <c r="J446" s="9" t="s">
        <v>1107</v>
      </c>
      <c r="K446" s="9" t="s">
        <v>1108</v>
      </c>
    </row>
    <row r="447">
      <c r="A447" s="10">
        <v>445.0</v>
      </c>
      <c r="C447" s="7"/>
      <c r="D447" s="7"/>
      <c r="E447" s="8">
        <v>445.0</v>
      </c>
      <c r="F447" s="8">
        <v>0.0</v>
      </c>
      <c r="G447" s="8">
        <v>0.0</v>
      </c>
      <c r="H447" s="8">
        <v>0.0</v>
      </c>
      <c r="I447" s="8">
        <v>0.0</v>
      </c>
      <c r="J447" s="8">
        <v>0.0</v>
      </c>
      <c r="K447" s="8">
        <v>0.0</v>
      </c>
    </row>
    <row r="448">
      <c r="A448" s="10">
        <v>446.0</v>
      </c>
      <c r="C448" s="7"/>
      <c r="D448" s="7"/>
      <c r="E448" s="8">
        <v>446.0</v>
      </c>
      <c r="F448" s="8">
        <v>0.0</v>
      </c>
      <c r="G448" s="8">
        <v>0.0</v>
      </c>
      <c r="H448" s="8">
        <v>0.0</v>
      </c>
      <c r="I448" s="8">
        <v>0.0</v>
      </c>
      <c r="J448" s="8">
        <v>0.0</v>
      </c>
      <c r="K448" s="8">
        <v>0.0</v>
      </c>
    </row>
    <row r="449">
      <c r="A449" s="10">
        <v>447.0</v>
      </c>
      <c r="C449" s="7"/>
      <c r="D449" s="7"/>
      <c r="E449" s="8">
        <v>447.0</v>
      </c>
      <c r="F449" s="8">
        <v>0.0</v>
      </c>
      <c r="G449" s="8">
        <v>0.0</v>
      </c>
      <c r="H449" s="8">
        <v>0.0</v>
      </c>
      <c r="I449" s="8">
        <v>0.0</v>
      </c>
      <c r="J449" s="8">
        <v>0.0</v>
      </c>
      <c r="K449" s="8">
        <v>0.0</v>
      </c>
    </row>
    <row r="450">
      <c r="A450" s="10">
        <v>448.0</v>
      </c>
      <c r="B450" s="6" t="s">
        <v>1109</v>
      </c>
      <c r="C450" s="7"/>
      <c r="D450" s="7"/>
      <c r="E450" s="8">
        <v>448.0</v>
      </c>
      <c r="F450" s="8">
        <v>0.0</v>
      </c>
      <c r="G450" s="8">
        <v>0.0</v>
      </c>
      <c r="H450" s="8">
        <v>0.0</v>
      </c>
      <c r="I450" s="8">
        <v>0.0</v>
      </c>
      <c r="J450" s="8">
        <v>0.0</v>
      </c>
      <c r="K450" s="8">
        <v>0.0</v>
      </c>
    </row>
    <row r="451">
      <c r="A451" s="10">
        <v>449.0</v>
      </c>
      <c r="B451" s="6" t="s">
        <v>725</v>
      </c>
      <c r="C451" s="7"/>
      <c r="D451" s="7"/>
      <c r="E451" s="8">
        <v>449.0</v>
      </c>
      <c r="F451" s="8">
        <v>0.0</v>
      </c>
      <c r="G451" s="8">
        <v>0.0</v>
      </c>
      <c r="H451" s="8">
        <v>0.0</v>
      </c>
      <c r="I451" s="8">
        <v>0.0</v>
      </c>
      <c r="J451" s="8">
        <v>0.0</v>
      </c>
      <c r="K451" s="8">
        <v>0.0</v>
      </c>
    </row>
    <row r="452">
      <c r="A452" s="10">
        <v>450.0</v>
      </c>
      <c r="B452" s="6" t="s">
        <v>726</v>
      </c>
      <c r="C452" s="7"/>
      <c r="D452" s="7"/>
      <c r="E452" s="8">
        <v>450.0</v>
      </c>
      <c r="F452" s="8">
        <v>0.0</v>
      </c>
      <c r="G452" s="8">
        <v>0.0</v>
      </c>
      <c r="H452" s="8">
        <v>0.0</v>
      </c>
      <c r="I452" s="8">
        <v>0.0</v>
      </c>
      <c r="J452" s="8">
        <v>0.0</v>
      </c>
      <c r="K452" s="8">
        <v>0.0</v>
      </c>
    </row>
    <row r="453">
      <c r="A453" s="10">
        <v>451.0</v>
      </c>
      <c r="B453" s="6" t="s">
        <v>727</v>
      </c>
      <c r="C453" s="7"/>
      <c r="D453" s="7"/>
      <c r="E453" s="8">
        <v>451.0</v>
      </c>
      <c r="F453" s="8">
        <v>0.0</v>
      </c>
      <c r="G453" s="8">
        <v>0.0</v>
      </c>
      <c r="H453" s="8">
        <v>0.0</v>
      </c>
      <c r="I453" s="8">
        <v>0.0</v>
      </c>
      <c r="J453" s="8">
        <v>0.0</v>
      </c>
      <c r="K453" s="8">
        <v>0.0</v>
      </c>
    </row>
    <row r="454">
      <c r="A454" s="10">
        <v>452.0</v>
      </c>
      <c r="B454" s="6" t="s">
        <v>728</v>
      </c>
      <c r="C454" s="7"/>
      <c r="D454" s="7"/>
      <c r="E454" s="8">
        <v>452.0</v>
      </c>
      <c r="F454" s="8">
        <v>0.0</v>
      </c>
      <c r="G454" s="8">
        <v>0.0</v>
      </c>
      <c r="H454" s="8">
        <v>0.0</v>
      </c>
      <c r="I454" s="8">
        <v>0.0</v>
      </c>
      <c r="J454" s="8">
        <v>0.0</v>
      </c>
      <c r="K454" s="8">
        <v>0.0</v>
      </c>
    </row>
    <row r="455">
      <c r="A455" s="10">
        <v>453.0</v>
      </c>
      <c r="B455" s="6" t="s">
        <v>729</v>
      </c>
      <c r="C455" s="7"/>
      <c r="D455" s="7"/>
      <c r="E455" s="8">
        <v>453.0</v>
      </c>
      <c r="F455" s="8">
        <v>0.0</v>
      </c>
      <c r="G455" s="8">
        <v>0.0</v>
      </c>
      <c r="H455" s="8">
        <v>0.0</v>
      </c>
      <c r="I455" s="8">
        <v>0.0</v>
      </c>
      <c r="J455" s="8">
        <v>0.0</v>
      </c>
      <c r="K455" s="8">
        <v>0.0</v>
      </c>
    </row>
    <row r="456">
      <c r="A456" s="10">
        <v>454.0</v>
      </c>
      <c r="B456" s="6" t="s">
        <v>730</v>
      </c>
      <c r="C456" s="7"/>
      <c r="D456" s="7"/>
      <c r="E456" s="8">
        <v>454.0</v>
      </c>
      <c r="F456" s="8">
        <v>0.0</v>
      </c>
      <c r="G456" s="8">
        <v>0.0</v>
      </c>
      <c r="H456" s="8">
        <v>0.0</v>
      </c>
      <c r="I456" s="8">
        <v>0.0</v>
      </c>
      <c r="J456" s="8">
        <v>0.0</v>
      </c>
      <c r="K456" s="8">
        <v>0.0</v>
      </c>
    </row>
    <row r="457">
      <c r="A457" s="10">
        <v>455.0</v>
      </c>
      <c r="B457" s="6" t="s">
        <v>731</v>
      </c>
      <c r="C457" s="7"/>
      <c r="D457" s="7"/>
      <c r="E457" s="8">
        <v>455.0</v>
      </c>
      <c r="F457" s="8">
        <v>0.0</v>
      </c>
      <c r="G457" s="8">
        <v>0.0</v>
      </c>
      <c r="H457" s="8">
        <v>0.0</v>
      </c>
      <c r="I457" s="8">
        <v>0.0</v>
      </c>
      <c r="J457" s="8">
        <v>0.0</v>
      </c>
      <c r="K457" s="8">
        <v>0.0</v>
      </c>
    </row>
    <row r="458">
      <c r="A458" s="10">
        <v>456.0</v>
      </c>
      <c r="B458" s="6" t="s">
        <v>732</v>
      </c>
      <c r="C458" s="7"/>
      <c r="D458" s="7"/>
      <c r="E458" s="8">
        <v>456.0</v>
      </c>
      <c r="F458" s="8">
        <v>0.0</v>
      </c>
      <c r="G458" s="8">
        <v>0.0</v>
      </c>
      <c r="H458" s="8">
        <v>0.0</v>
      </c>
      <c r="I458" s="8">
        <v>0.0</v>
      </c>
      <c r="J458" s="8">
        <v>0.0</v>
      </c>
      <c r="K458" s="8">
        <v>0.0</v>
      </c>
    </row>
    <row r="459">
      <c r="A459" s="10">
        <v>457.0</v>
      </c>
      <c r="B459" s="6" t="s">
        <v>733</v>
      </c>
      <c r="C459" s="7"/>
      <c r="D459" s="7"/>
      <c r="E459" s="8">
        <v>457.0</v>
      </c>
      <c r="F459" s="8">
        <v>0.0</v>
      </c>
      <c r="G459" s="8">
        <v>0.0</v>
      </c>
      <c r="H459" s="8">
        <v>0.0</v>
      </c>
      <c r="I459" s="8">
        <v>0.0</v>
      </c>
      <c r="J459" s="8">
        <v>0.0</v>
      </c>
      <c r="K459" s="8">
        <v>0.0</v>
      </c>
    </row>
    <row r="460">
      <c r="A460" s="10">
        <v>458.0</v>
      </c>
      <c r="B460" s="6" t="s">
        <v>734</v>
      </c>
      <c r="C460" s="7"/>
      <c r="D460" s="7"/>
      <c r="E460" s="8">
        <v>458.0</v>
      </c>
      <c r="F460" s="8">
        <v>0.0</v>
      </c>
      <c r="G460" s="8">
        <v>0.0</v>
      </c>
      <c r="H460" s="8">
        <v>0.0</v>
      </c>
      <c r="I460" s="8">
        <v>0.0</v>
      </c>
      <c r="J460" s="8">
        <v>0.0</v>
      </c>
      <c r="K460" s="8">
        <v>0.0</v>
      </c>
    </row>
    <row r="461">
      <c r="A461" s="10">
        <v>459.0</v>
      </c>
      <c r="B461" s="6" t="s">
        <v>735</v>
      </c>
      <c r="C461" s="7"/>
      <c r="D461" s="7"/>
      <c r="E461" s="8">
        <v>459.0</v>
      </c>
      <c r="F461" s="8">
        <v>0.0</v>
      </c>
      <c r="G461" s="8">
        <v>0.0</v>
      </c>
      <c r="H461" s="8">
        <v>0.0</v>
      </c>
      <c r="I461" s="8">
        <v>0.0</v>
      </c>
      <c r="J461" s="8">
        <v>0.0</v>
      </c>
      <c r="K461" s="8">
        <v>0.0</v>
      </c>
    </row>
    <row r="462">
      <c r="A462" s="10">
        <v>460.0</v>
      </c>
      <c r="B462" s="6" t="s">
        <v>736</v>
      </c>
      <c r="C462" s="7"/>
      <c r="D462" s="7"/>
      <c r="E462" s="8">
        <v>460.0</v>
      </c>
      <c r="F462" s="8">
        <v>0.0</v>
      </c>
      <c r="G462" s="8">
        <v>0.0</v>
      </c>
      <c r="H462" s="8">
        <v>0.0</v>
      </c>
      <c r="I462" s="8">
        <v>0.0</v>
      </c>
      <c r="J462" s="8">
        <v>0.0</v>
      </c>
      <c r="K462" s="8">
        <v>0.0</v>
      </c>
    </row>
    <row r="463">
      <c r="A463" s="10">
        <v>461.0</v>
      </c>
      <c r="B463" s="6" t="s">
        <v>737</v>
      </c>
      <c r="C463" s="7"/>
      <c r="D463" s="7"/>
      <c r="E463" s="8">
        <v>461.0</v>
      </c>
      <c r="F463" s="8">
        <v>0.0</v>
      </c>
      <c r="G463" s="8">
        <v>0.0</v>
      </c>
      <c r="H463" s="8">
        <v>0.0</v>
      </c>
      <c r="I463" s="8">
        <v>0.0</v>
      </c>
      <c r="J463" s="8">
        <v>0.0</v>
      </c>
      <c r="K463" s="8">
        <v>0.0</v>
      </c>
    </row>
    <row r="464">
      <c r="A464" s="10">
        <v>462.0</v>
      </c>
      <c r="B464" s="6" t="s">
        <v>738</v>
      </c>
      <c r="C464" s="7"/>
      <c r="D464" s="7"/>
      <c r="E464" s="8">
        <v>462.0</v>
      </c>
      <c r="F464" s="8">
        <v>0.0</v>
      </c>
      <c r="G464" s="8">
        <v>0.0</v>
      </c>
      <c r="H464" s="8">
        <v>0.0</v>
      </c>
      <c r="I464" s="8">
        <v>0.0</v>
      </c>
      <c r="J464" s="8">
        <v>0.0</v>
      </c>
      <c r="K464" s="8">
        <v>0.0</v>
      </c>
    </row>
    <row r="465">
      <c r="A465" s="10">
        <v>463.0</v>
      </c>
      <c r="B465" s="6" t="s">
        <v>739</v>
      </c>
      <c r="C465" s="7"/>
      <c r="D465" s="7"/>
      <c r="E465" s="8">
        <v>463.0</v>
      </c>
      <c r="F465" s="8">
        <v>0.0</v>
      </c>
      <c r="G465" s="8">
        <v>0.0</v>
      </c>
      <c r="H465" s="8">
        <v>0.0</v>
      </c>
      <c r="I465" s="8">
        <v>0.0</v>
      </c>
      <c r="J465" s="8">
        <v>0.0</v>
      </c>
      <c r="K465" s="8">
        <v>0.0</v>
      </c>
    </row>
    <row r="466">
      <c r="A466" s="10">
        <v>464.0</v>
      </c>
      <c r="B466" s="6" t="s">
        <v>740</v>
      </c>
      <c r="C466" s="7"/>
      <c r="D466" s="7"/>
      <c r="E466" s="8">
        <v>464.0</v>
      </c>
      <c r="F466" s="8">
        <v>0.0</v>
      </c>
      <c r="G466" s="8">
        <v>0.0</v>
      </c>
      <c r="H466" s="8">
        <v>0.0</v>
      </c>
      <c r="I466" s="8">
        <v>0.0</v>
      </c>
      <c r="J466" s="8">
        <v>0.0</v>
      </c>
      <c r="K466" s="8">
        <v>0.0</v>
      </c>
    </row>
    <row r="467">
      <c r="A467" s="10">
        <v>465.0</v>
      </c>
      <c r="B467" s="6" t="s">
        <v>741</v>
      </c>
      <c r="C467" s="7"/>
      <c r="D467" s="7"/>
      <c r="E467" s="8">
        <v>465.0</v>
      </c>
      <c r="F467" s="8">
        <v>0.0</v>
      </c>
      <c r="G467" s="8">
        <v>0.0</v>
      </c>
      <c r="H467" s="8">
        <v>0.0</v>
      </c>
      <c r="I467" s="8">
        <v>0.0</v>
      </c>
      <c r="J467" s="8">
        <v>0.0</v>
      </c>
      <c r="K467" s="8">
        <v>0.0</v>
      </c>
    </row>
    <row r="468">
      <c r="A468" s="10">
        <v>466.0</v>
      </c>
      <c r="B468" s="6" t="s">
        <v>742</v>
      </c>
      <c r="C468" s="7"/>
      <c r="D468" s="7"/>
      <c r="E468" s="8">
        <v>466.0</v>
      </c>
      <c r="F468" s="8">
        <v>0.0</v>
      </c>
      <c r="G468" s="8">
        <v>0.0</v>
      </c>
      <c r="H468" s="8">
        <v>0.0</v>
      </c>
      <c r="I468" s="8">
        <v>0.0</v>
      </c>
      <c r="J468" s="8">
        <v>0.0</v>
      </c>
      <c r="K468" s="8">
        <v>0.0</v>
      </c>
    </row>
    <row r="469">
      <c r="A469" s="10">
        <v>467.0</v>
      </c>
      <c r="B469" s="6" t="s">
        <v>743</v>
      </c>
      <c r="C469" s="7"/>
      <c r="D469" s="7"/>
      <c r="E469" s="8">
        <v>467.0</v>
      </c>
      <c r="F469" s="8">
        <v>0.0</v>
      </c>
      <c r="G469" s="8">
        <v>0.0</v>
      </c>
      <c r="H469" s="8">
        <v>0.0</v>
      </c>
      <c r="I469" s="8">
        <v>0.0</v>
      </c>
      <c r="J469" s="8">
        <v>0.0</v>
      </c>
      <c r="K469" s="8">
        <v>0.0</v>
      </c>
    </row>
    <row r="470">
      <c r="A470" s="10">
        <v>468.0</v>
      </c>
      <c r="B470" s="6" t="s">
        <v>744</v>
      </c>
      <c r="C470" s="7"/>
      <c r="D470" s="7"/>
      <c r="E470" s="8">
        <v>468.0</v>
      </c>
      <c r="F470" s="8">
        <v>0.0</v>
      </c>
      <c r="G470" s="8">
        <v>0.0</v>
      </c>
      <c r="H470" s="8">
        <v>0.0</v>
      </c>
      <c r="I470" s="8">
        <v>0.0</v>
      </c>
      <c r="J470" s="8">
        <v>0.0</v>
      </c>
      <c r="K470" s="8">
        <v>0.0</v>
      </c>
    </row>
    <row r="471">
      <c r="A471" s="10">
        <v>469.0</v>
      </c>
      <c r="B471" s="6" t="s">
        <v>745</v>
      </c>
      <c r="C471" s="7"/>
      <c r="D471" s="7"/>
      <c r="E471" s="8">
        <v>469.0</v>
      </c>
      <c r="F471" s="8">
        <v>0.0</v>
      </c>
      <c r="G471" s="8">
        <v>0.0</v>
      </c>
      <c r="H471" s="8">
        <v>0.0</v>
      </c>
      <c r="I471" s="8">
        <v>0.0</v>
      </c>
      <c r="J471" s="8">
        <v>0.0</v>
      </c>
      <c r="K471" s="8">
        <v>0.0</v>
      </c>
    </row>
    <row r="472">
      <c r="A472" s="10">
        <v>470.0</v>
      </c>
      <c r="B472" s="6" t="s">
        <v>746</v>
      </c>
      <c r="C472" s="7"/>
      <c r="D472" s="7"/>
      <c r="E472" s="8">
        <v>470.0</v>
      </c>
      <c r="F472" s="8">
        <v>0.0</v>
      </c>
      <c r="G472" s="8">
        <v>0.0</v>
      </c>
      <c r="H472" s="8">
        <v>0.0</v>
      </c>
      <c r="I472" s="8">
        <v>0.0</v>
      </c>
      <c r="J472" s="8">
        <v>0.0</v>
      </c>
      <c r="K472" s="8">
        <v>0.0</v>
      </c>
    </row>
    <row r="473">
      <c r="A473" s="10">
        <v>471.0</v>
      </c>
      <c r="B473" s="6" t="s">
        <v>747</v>
      </c>
      <c r="C473" s="7"/>
      <c r="D473" s="7"/>
      <c r="E473" s="8">
        <v>471.0</v>
      </c>
      <c r="F473" s="8">
        <v>0.0</v>
      </c>
      <c r="G473" s="8">
        <v>0.0</v>
      </c>
      <c r="H473" s="8">
        <v>0.0</v>
      </c>
      <c r="I473" s="8">
        <v>0.0</v>
      </c>
      <c r="J473" s="8">
        <v>0.0</v>
      </c>
      <c r="K473" s="8">
        <v>0.0</v>
      </c>
    </row>
    <row r="474">
      <c r="A474" s="10">
        <v>472.0</v>
      </c>
      <c r="B474" s="6" t="s">
        <v>748</v>
      </c>
      <c r="C474" s="7"/>
      <c r="D474" s="7"/>
      <c r="E474" s="8">
        <v>472.0</v>
      </c>
      <c r="F474" s="8">
        <v>0.0</v>
      </c>
      <c r="G474" s="8">
        <v>0.0</v>
      </c>
      <c r="H474" s="8">
        <v>0.0</v>
      </c>
      <c r="I474" s="8">
        <v>0.0</v>
      </c>
      <c r="J474" s="8">
        <v>0.0</v>
      </c>
      <c r="K474" s="8">
        <v>0.0</v>
      </c>
    </row>
    <row r="475">
      <c r="A475" s="10">
        <v>473.0</v>
      </c>
      <c r="B475" s="6" t="s">
        <v>749</v>
      </c>
      <c r="C475" s="7"/>
      <c r="D475" s="7"/>
      <c r="E475" s="8">
        <v>473.0</v>
      </c>
      <c r="F475" s="8">
        <v>0.0</v>
      </c>
      <c r="G475" s="8">
        <v>0.0</v>
      </c>
      <c r="H475" s="8">
        <v>0.0</v>
      </c>
      <c r="I475" s="8">
        <v>0.0</v>
      </c>
      <c r="J475" s="8">
        <v>0.0</v>
      </c>
      <c r="K475" s="8">
        <v>0.0</v>
      </c>
    </row>
    <row r="476">
      <c r="A476" s="10">
        <v>474.0</v>
      </c>
      <c r="B476" s="6" t="s">
        <v>750</v>
      </c>
      <c r="C476" s="7"/>
      <c r="D476" s="7"/>
      <c r="E476" s="8">
        <v>474.0</v>
      </c>
      <c r="F476" s="8">
        <v>0.0</v>
      </c>
      <c r="G476" s="8">
        <v>0.0</v>
      </c>
      <c r="H476" s="8">
        <v>0.0</v>
      </c>
      <c r="I476" s="8">
        <v>0.0</v>
      </c>
      <c r="J476" s="8">
        <v>0.0</v>
      </c>
      <c r="K476" s="8">
        <v>0.0</v>
      </c>
    </row>
    <row r="477">
      <c r="A477" s="10">
        <v>475.0</v>
      </c>
      <c r="B477" s="6" t="s">
        <v>751</v>
      </c>
      <c r="C477" s="7"/>
      <c r="D477" s="7"/>
      <c r="E477" s="8">
        <v>475.0</v>
      </c>
      <c r="F477" s="8">
        <v>0.0</v>
      </c>
      <c r="G477" s="8">
        <v>0.0</v>
      </c>
      <c r="H477" s="8">
        <v>0.0</v>
      </c>
      <c r="I477" s="8">
        <v>0.0</v>
      </c>
      <c r="J477" s="8">
        <v>0.0</v>
      </c>
      <c r="K477" s="8">
        <v>0.0</v>
      </c>
    </row>
    <row r="478">
      <c r="A478" s="10">
        <v>476.0</v>
      </c>
      <c r="C478" s="7"/>
      <c r="D478" s="7"/>
      <c r="E478" s="8">
        <v>476.0</v>
      </c>
      <c r="F478" s="8">
        <v>0.0</v>
      </c>
      <c r="G478" s="8">
        <v>0.0</v>
      </c>
      <c r="H478" s="8">
        <v>0.0</v>
      </c>
      <c r="I478" s="8">
        <v>0.0</v>
      </c>
      <c r="J478" s="8">
        <v>0.0</v>
      </c>
      <c r="K478" s="8">
        <v>0.0</v>
      </c>
    </row>
    <row r="479">
      <c r="A479" s="10">
        <v>477.0</v>
      </c>
      <c r="C479" s="7"/>
      <c r="D479" s="7"/>
      <c r="E479" s="8">
        <v>477.0</v>
      </c>
      <c r="F479" s="8">
        <v>0.0</v>
      </c>
      <c r="G479" s="8">
        <v>0.0</v>
      </c>
      <c r="H479" s="8">
        <v>0.0</v>
      </c>
      <c r="I479" s="8">
        <v>0.0</v>
      </c>
      <c r="J479" s="8">
        <v>0.0</v>
      </c>
      <c r="K479" s="8">
        <v>0.0</v>
      </c>
    </row>
    <row r="480">
      <c r="A480" s="10">
        <v>478.0</v>
      </c>
      <c r="C480" s="7"/>
      <c r="D480" s="7"/>
      <c r="E480" s="8">
        <v>478.0</v>
      </c>
      <c r="F480" s="8">
        <v>0.0</v>
      </c>
      <c r="G480" s="8">
        <v>0.0</v>
      </c>
      <c r="H480" s="8">
        <v>0.0</v>
      </c>
      <c r="I480" s="8">
        <v>0.0</v>
      </c>
      <c r="J480" s="8">
        <v>0.0</v>
      </c>
      <c r="K480" s="8">
        <v>0.0</v>
      </c>
    </row>
    <row r="481">
      <c r="A481" s="10">
        <v>479.0</v>
      </c>
      <c r="C481" s="7"/>
      <c r="D481" s="7"/>
      <c r="E481" s="8">
        <v>479.0</v>
      </c>
      <c r="F481" s="8">
        <v>0.0</v>
      </c>
      <c r="G481" s="8">
        <v>0.0</v>
      </c>
      <c r="H481" s="8">
        <v>0.0</v>
      </c>
      <c r="I481" s="8">
        <v>0.0</v>
      </c>
      <c r="J481" s="8">
        <v>0.0</v>
      </c>
      <c r="K481" s="8">
        <v>0.0</v>
      </c>
    </row>
    <row r="482">
      <c r="A482" s="10">
        <v>480.0</v>
      </c>
      <c r="B482" s="6" t="s">
        <v>1110</v>
      </c>
      <c r="C482" s="7"/>
      <c r="D482" s="7"/>
      <c r="E482" s="8">
        <v>480.0</v>
      </c>
      <c r="F482" s="8">
        <v>0.0</v>
      </c>
      <c r="G482" s="8">
        <v>0.0</v>
      </c>
      <c r="H482" s="8">
        <v>0.0</v>
      </c>
      <c r="I482" s="8">
        <v>0.0</v>
      </c>
      <c r="J482" s="8">
        <v>0.0</v>
      </c>
      <c r="K482" s="8">
        <v>0.0</v>
      </c>
    </row>
    <row r="483">
      <c r="A483" s="10">
        <v>481.0</v>
      </c>
      <c r="B483" s="6" t="s">
        <v>752</v>
      </c>
      <c r="C483" s="7"/>
      <c r="D483" s="7"/>
      <c r="E483" s="8">
        <v>481.0</v>
      </c>
      <c r="F483" s="8">
        <v>0.0</v>
      </c>
      <c r="G483" s="8">
        <v>0.0</v>
      </c>
      <c r="H483" s="8">
        <v>0.0</v>
      </c>
      <c r="I483" s="8">
        <v>0.0</v>
      </c>
      <c r="J483" s="8">
        <v>0.0</v>
      </c>
      <c r="K483" s="8">
        <v>0.0</v>
      </c>
    </row>
    <row r="484">
      <c r="A484" s="10">
        <v>482.0</v>
      </c>
      <c r="B484" s="6" t="s">
        <v>753</v>
      </c>
      <c r="C484" s="7"/>
      <c r="D484" s="7"/>
      <c r="E484" s="8">
        <v>482.0</v>
      </c>
      <c r="F484" s="8">
        <v>0.0</v>
      </c>
      <c r="G484" s="8">
        <v>0.0</v>
      </c>
      <c r="H484" s="8">
        <v>0.0</v>
      </c>
      <c r="I484" s="8">
        <v>0.0</v>
      </c>
      <c r="J484" s="8">
        <v>0.0</v>
      </c>
      <c r="K484" s="8">
        <v>0.0</v>
      </c>
    </row>
    <row r="485">
      <c r="A485" s="10">
        <v>483.0</v>
      </c>
      <c r="B485" s="6" t="s">
        <v>754</v>
      </c>
      <c r="C485" s="7"/>
      <c r="D485" s="7"/>
      <c r="E485" s="8">
        <v>483.0</v>
      </c>
      <c r="F485" s="8">
        <v>0.0</v>
      </c>
      <c r="G485" s="8">
        <v>0.0</v>
      </c>
      <c r="H485" s="8">
        <v>0.0</v>
      </c>
      <c r="I485" s="8">
        <v>0.0</v>
      </c>
      <c r="J485" s="8">
        <v>0.0</v>
      </c>
      <c r="K485" s="8">
        <v>0.0</v>
      </c>
    </row>
    <row r="486">
      <c r="A486" s="10">
        <v>484.0</v>
      </c>
      <c r="B486" s="6" t="s">
        <v>755</v>
      </c>
      <c r="C486" s="7"/>
      <c r="D486" s="7"/>
      <c r="E486" s="8">
        <v>484.0</v>
      </c>
      <c r="F486" s="8">
        <v>0.0</v>
      </c>
      <c r="G486" s="8">
        <v>0.0</v>
      </c>
      <c r="H486" s="8">
        <v>0.0</v>
      </c>
      <c r="I486" s="8">
        <v>0.0</v>
      </c>
      <c r="J486" s="8">
        <v>0.0</v>
      </c>
      <c r="K486" s="8">
        <v>0.0</v>
      </c>
    </row>
    <row r="487">
      <c r="A487" s="10">
        <v>485.0</v>
      </c>
      <c r="B487" s="6" t="s">
        <v>756</v>
      </c>
      <c r="C487" s="7"/>
      <c r="D487" s="7"/>
      <c r="E487" s="8">
        <v>485.0</v>
      </c>
      <c r="F487" s="8">
        <v>0.0</v>
      </c>
      <c r="G487" s="8">
        <v>0.0</v>
      </c>
      <c r="H487" s="8">
        <v>0.0</v>
      </c>
      <c r="I487" s="8">
        <v>0.0</v>
      </c>
      <c r="J487" s="8">
        <v>0.0</v>
      </c>
      <c r="K487" s="8">
        <v>0.0</v>
      </c>
    </row>
    <row r="488">
      <c r="A488" s="10">
        <v>486.0</v>
      </c>
      <c r="B488" s="6" t="s">
        <v>757</v>
      </c>
      <c r="C488" s="7"/>
      <c r="D488" s="7"/>
      <c r="E488" s="8">
        <v>486.0</v>
      </c>
      <c r="F488" s="8">
        <v>0.0</v>
      </c>
      <c r="G488" s="8">
        <v>0.0</v>
      </c>
      <c r="H488" s="8">
        <v>0.0</v>
      </c>
      <c r="I488" s="8">
        <v>0.0</v>
      </c>
      <c r="J488" s="8">
        <v>0.0</v>
      </c>
      <c r="K488" s="8">
        <v>0.0</v>
      </c>
    </row>
    <row r="489">
      <c r="A489" s="10">
        <v>487.0</v>
      </c>
      <c r="B489" s="6" t="s">
        <v>758</v>
      </c>
      <c r="C489" s="7"/>
      <c r="D489" s="7"/>
      <c r="E489" s="8">
        <v>487.0</v>
      </c>
      <c r="F489" s="8">
        <v>0.0</v>
      </c>
      <c r="G489" s="8">
        <v>0.0</v>
      </c>
      <c r="H489" s="8">
        <v>0.0</v>
      </c>
      <c r="I489" s="8">
        <v>0.0</v>
      </c>
      <c r="J489" s="8">
        <v>0.0</v>
      </c>
      <c r="K489" s="8">
        <v>0.0</v>
      </c>
    </row>
    <row r="490">
      <c r="A490" s="10">
        <v>488.0</v>
      </c>
      <c r="B490" s="6" t="s">
        <v>759</v>
      </c>
      <c r="C490" s="7"/>
      <c r="D490" s="7"/>
      <c r="E490" s="8">
        <v>488.0</v>
      </c>
      <c r="F490" s="8">
        <v>0.0</v>
      </c>
      <c r="G490" s="8">
        <v>0.0</v>
      </c>
      <c r="H490" s="8">
        <v>0.0</v>
      </c>
      <c r="I490" s="8">
        <v>0.0</v>
      </c>
      <c r="J490" s="8">
        <v>0.0</v>
      </c>
      <c r="K490" s="8">
        <v>0.0</v>
      </c>
    </row>
    <row r="491">
      <c r="A491" s="10">
        <v>489.0</v>
      </c>
      <c r="B491" s="6" t="s">
        <v>760</v>
      </c>
      <c r="C491" s="7"/>
      <c r="D491" s="7"/>
      <c r="E491" s="8">
        <v>489.0</v>
      </c>
      <c r="F491" s="8">
        <v>0.0</v>
      </c>
      <c r="G491" s="8">
        <v>0.0</v>
      </c>
      <c r="H491" s="8">
        <v>0.0</v>
      </c>
      <c r="I491" s="8">
        <v>0.0</v>
      </c>
      <c r="J491" s="8">
        <v>0.0</v>
      </c>
      <c r="K491" s="8">
        <v>0.0</v>
      </c>
    </row>
    <row r="492">
      <c r="A492" s="10">
        <v>490.0</v>
      </c>
      <c r="B492" s="6" t="s">
        <v>761</v>
      </c>
      <c r="C492" s="7"/>
      <c r="D492" s="7"/>
      <c r="E492" s="8">
        <v>490.0</v>
      </c>
      <c r="F492" s="8">
        <v>0.0</v>
      </c>
      <c r="G492" s="8">
        <v>0.0</v>
      </c>
      <c r="H492" s="8">
        <v>0.0</v>
      </c>
      <c r="I492" s="8">
        <v>0.0</v>
      </c>
      <c r="J492" s="8">
        <v>0.0</v>
      </c>
      <c r="K492" s="8">
        <v>0.0</v>
      </c>
    </row>
    <row r="493">
      <c r="A493" s="10">
        <v>491.0</v>
      </c>
      <c r="B493" s="6" t="s">
        <v>762</v>
      </c>
      <c r="C493" s="7"/>
      <c r="D493" s="7"/>
      <c r="E493" s="8">
        <v>491.0</v>
      </c>
      <c r="F493" s="8">
        <v>0.0</v>
      </c>
      <c r="G493" s="8">
        <v>0.0</v>
      </c>
      <c r="H493" s="8">
        <v>0.0</v>
      </c>
      <c r="I493" s="8">
        <v>0.0</v>
      </c>
      <c r="J493" s="8">
        <v>0.0</v>
      </c>
      <c r="K493" s="8">
        <v>0.0</v>
      </c>
    </row>
    <row r="494">
      <c r="A494" s="10">
        <v>492.0</v>
      </c>
      <c r="B494" s="6" t="s">
        <v>763</v>
      </c>
      <c r="C494" s="7"/>
      <c r="D494" s="7"/>
      <c r="E494" s="8">
        <v>492.0</v>
      </c>
      <c r="F494" s="8">
        <v>0.0</v>
      </c>
      <c r="G494" s="8">
        <v>0.0</v>
      </c>
      <c r="H494" s="8">
        <v>0.0</v>
      </c>
      <c r="I494" s="8">
        <v>0.0</v>
      </c>
      <c r="J494" s="8">
        <v>0.0</v>
      </c>
      <c r="K494" s="8">
        <v>0.0</v>
      </c>
    </row>
    <row r="495">
      <c r="A495" s="10">
        <v>493.0</v>
      </c>
      <c r="B495" s="6" t="s">
        <v>764</v>
      </c>
      <c r="C495" s="7"/>
      <c r="D495" s="7"/>
      <c r="E495" s="8">
        <v>493.0</v>
      </c>
      <c r="F495" s="8">
        <v>0.0</v>
      </c>
      <c r="G495" s="8">
        <v>0.0</v>
      </c>
      <c r="H495" s="8">
        <v>0.0</v>
      </c>
      <c r="I495" s="8">
        <v>0.0</v>
      </c>
      <c r="J495" s="8">
        <v>0.0</v>
      </c>
      <c r="K495" s="8">
        <v>0.0</v>
      </c>
    </row>
    <row r="496">
      <c r="A496" s="10">
        <v>494.0</v>
      </c>
      <c r="B496" s="6" t="s">
        <v>765</v>
      </c>
      <c r="C496" s="7"/>
      <c r="D496" s="7"/>
      <c r="E496" s="8">
        <v>494.0</v>
      </c>
      <c r="F496" s="8">
        <v>0.0</v>
      </c>
      <c r="G496" s="8">
        <v>0.0</v>
      </c>
      <c r="H496" s="8">
        <v>0.0</v>
      </c>
      <c r="I496" s="8">
        <v>0.0</v>
      </c>
      <c r="J496" s="8">
        <v>0.0</v>
      </c>
      <c r="K496" s="8">
        <v>0.0</v>
      </c>
    </row>
    <row r="497">
      <c r="A497" s="10">
        <v>495.0</v>
      </c>
      <c r="B497" s="6" t="s">
        <v>766</v>
      </c>
      <c r="C497" s="7"/>
      <c r="D497" s="7"/>
      <c r="E497" s="8">
        <v>495.0</v>
      </c>
      <c r="F497" s="8">
        <v>0.0</v>
      </c>
      <c r="G497" s="8">
        <v>0.0</v>
      </c>
      <c r="H497" s="8">
        <v>0.0</v>
      </c>
      <c r="I497" s="8">
        <v>0.0</v>
      </c>
      <c r="J497" s="8">
        <v>0.0</v>
      </c>
      <c r="K497" s="8">
        <v>0.0</v>
      </c>
    </row>
    <row r="498">
      <c r="A498" s="10">
        <v>496.0</v>
      </c>
      <c r="B498" s="6" t="s">
        <v>767</v>
      </c>
      <c r="C498" s="7"/>
      <c r="D498" s="7"/>
      <c r="E498" s="8">
        <v>496.0</v>
      </c>
      <c r="F498" s="8">
        <v>0.0</v>
      </c>
      <c r="G498" s="8">
        <v>0.0</v>
      </c>
      <c r="H498" s="8">
        <v>0.0</v>
      </c>
      <c r="I498" s="8">
        <v>0.0</v>
      </c>
      <c r="J498" s="8">
        <v>0.0</v>
      </c>
      <c r="K498" s="8">
        <v>0.0</v>
      </c>
    </row>
    <row r="499">
      <c r="A499" s="10">
        <v>497.0</v>
      </c>
      <c r="B499" s="6" t="s">
        <v>768</v>
      </c>
      <c r="C499" s="7"/>
      <c r="D499" s="7"/>
      <c r="E499" s="8">
        <v>497.0</v>
      </c>
      <c r="F499" s="8">
        <v>0.0</v>
      </c>
      <c r="G499" s="8">
        <v>0.0</v>
      </c>
      <c r="H499" s="8">
        <v>0.0</v>
      </c>
      <c r="I499" s="8">
        <v>0.0</v>
      </c>
      <c r="J499" s="8">
        <v>0.0</v>
      </c>
      <c r="K499" s="8">
        <v>0.0</v>
      </c>
    </row>
    <row r="500">
      <c r="A500" s="10">
        <v>498.0</v>
      </c>
      <c r="B500" s="6" t="s">
        <v>769</v>
      </c>
      <c r="C500" s="7"/>
      <c r="D500" s="7"/>
      <c r="E500" s="8">
        <v>498.0</v>
      </c>
      <c r="F500" s="8">
        <v>0.0</v>
      </c>
      <c r="G500" s="8">
        <v>0.0</v>
      </c>
      <c r="H500" s="8">
        <v>0.0</v>
      </c>
      <c r="I500" s="8">
        <v>0.0</v>
      </c>
      <c r="J500" s="8">
        <v>0.0</v>
      </c>
      <c r="K500" s="8">
        <v>0.0</v>
      </c>
    </row>
    <row r="501">
      <c r="A501" s="10">
        <v>499.0</v>
      </c>
      <c r="B501" s="6" t="s">
        <v>770</v>
      </c>
      <c r="C501" s="7"/>
      <c r="D501" s="7"/>
      <c r="E501" s="8">
        <v>499.0</v>
      </c>
      <c r="F501" s="8">
        <v>0.0</v>
      </c>
      <c r="G501" s="8">
        <v>0.0</v>
      </c>
      <c r="H501" s="8">
        <v>0.0</v>
      </c>
      <c r="I501" s="8">
        <v>0.0</v>
      </c>
      <c r="J501" s="8">
        <v>0.0</v>
      </c>
      <c r="K501" s="8">
        <v>0.0</v>
      </c>
    </row>
    <row r="502">
      <c r="A502" s="10">
        <v>500.0</v>
      </c>
      <c r="B502" s="6" t="s">
        <v>771</v>
      </c>
      <c r="C502" s="7"/>
      <c r="D502" s="7"/>
      <c r="E502" s="8">
        <v>500.0</v>
      </c>
      <c r="F502" s="8">
        <v>0.0</v>
      </c>
      <c r="G502" s="8">
        <v>0.0</v>
      </c>
      <c r="H502" s="8">
        <v>0.0</v>
      </c>
      <c r="I502" s="8">
        <v>0.0</v>
      </c>
      <c r="J502" s="8">
        <v>0.0</v>
      </c>
      <c r="K502" s="8">
        <v>0.0</v>
      </c>
    </row>
    <row r="503">
      <c r="A503" s="10">
        <v>501.0</v>
      </c>
      <c r="B503" s="6" t="s">
        <v>772</v>
      </c>
      <c r="C503" s="7"/>
      <c r="D503" s="7"/>
      <c r="E503" s="8">
        <v>501.0</v>
      </c>
      <c r="F503" s="8">
        <v>0.0</v>
      </c>
      <c r="G503" s="8">
        <v>0.0</v>
      </c>
      <c r="H503" s="8">
        <v>0.0</v>
      </c>
      <c r="I503" s="8">
        <v>0.0</v>
      </c>
      <c r="J503" s="8">
        <v>0.0</v>
      </c>
      <c r="K503" s="8">
        <v>0.0</v>
      </c>
    </row>
    <row r="504">
      <c r="A504" s="10">
        <v>502.0</v>
      </c>
      <c r="B504" s="6" t="s">
        <v>773</v>
      </c>
      <c r="C504" s="7"/>
      <c r="D504" s="7"/>
      <c r="E504" s="8">
        <v>502.0</v>
      </c>
      <c r="F504" s="8">
        <v>0.0</v>
      </c>
      <c r="G504" s="8">
        <v>0.0</v>
      </c>
      <c r="H504" s="8">
        <v>0.0</v>
      </c>
      <c r="I504" s="8">
        <v>0.0</v>
      </c>
      <c r="J504" s="8">
        <v>0.0</v>
      </c>
      <c r="K504" s="8">
        <v>0.0</v>
      </c>
    </row>
    <row r="505">
      <c r="A505" s="10">
        <v>503.0</v>
      </c>
      <c r="B505" s="6" t="s">
        <v>774</v>
      </c>
      <c r="C505" s="7"/>
      <c r="D505" s="7"/>
      <c r="E505" s="8">
        <v>503.0</v>
      </c>
      <c r="F505" s="8">
        <v>0.0</v>
      </c>
      <c r="G505" s="8">
        <v>0.0</v>
      </c>
      <c r="H505" s="8">
        <v>0.0</v>
      </c>
      <c r="I505" s="8">
        <v>0.0</v>
      </c>
      <c r="J505" s="8">
        <v>0.0</v>
      </c>
      <c r="K505" s="8">
        <v>0.0</v>
      </c>
    </row>
    <row r="506">
      <c r="A506" s="10">
        <v>504.0</v>
      </c>
      <c r="B506" s="6" t="s">
        <v>775</v>
      </c>
      <c r="C506" s="7"/>
      <c r="D506" s="7"/>
      <c r="E506" s="8">
        <v>504.0</v>
      </c>
      <c r="F506" s="8">
        <v>0.0</v>
      </c>
      <c r="G506" s="8">
        <v>0.0</v>
      </c>
      <c r="H506" s="8">
        <v>0.0</v>
      </c>
      <c r="I506" s="8">
        <v>0.0</v>
      </c>
      <c r="J506" s="8">
        <v>0.0</v>
      </c>
      <c r="K506" s="8">
        <v>0.0</v>
      </c>
    </row>
    <row r="507">
      <c r="A507" s="10">
        <v>505.0</v>
      </c>
      <c r="B507" s="6" t="s">
        <v>776</v>
      </c>
      <c r="C507" s="7"/>
      <c r="D507" s="7"/>
      <c r="E507" s="8">
        <v>505.0</v>
      </c>
      <c r="F507" s="8">
        <v>0.0</v>
      </c>
      <c r="G507" s="8">
        <v>0.0</v>
      </c>
      <c r="H507" s="8">
        <v>0.0</v>
      </c>
      <c r="I507" s="8">
        <v>0.0</v>
      </c>
      <c r="J507" s="8">
        <v>0.0</v>
      </c>
      <c r="K507" s="8">
        <v>0.0</v>
      </c>
    </row>
    <row r="508">
      <c r="A508" s="10">
        <v>506.0</v>
      </c>
      <c r="B508" s="6" t="s">
        <v>777</v>
      </c>
      <c r="C508" s="7"/>
      <c r="D508" s="7"/>
      <c r="E508" s="8">
        <v>506.0</v>
      </c>
      <c r="F508" s="8">
        <v>0.0</v>
      </c>
      <c r="G508" s="8">
        <v>0.0</v>
      </c>
      <c r="H508" s="8">
        <v>0.0</v>
      </c>
      <c r="I508" s="8">
        <v>0.0</v>
      </c>
      <c r="J508" s="8">
        <v>0.0</v>
      </c>
      <c r="K508" s="8">
        <v>0.0</v>
      </c>
    </row>
    <row r="509">
      <c r="A509" s="10">
        <v>507.0</v>
      </c>
      <c r="B509" s="6" t="s">
        <v>778</v>
      </c>
      <c r="C509" s="7"/>
      <c r="D509" s="7"/>
      <c r="E509" s="8">
        <v>507.0</v>
      </c>
      <c r="F509" s="8">
        <v>0.0</v>
      </c>
      <c r="G509" s="8">
        <v>0.0</v>
      </c>
      <c r="H509" s="8">
        <v>0.0</v>
      </c>
      <c r="I509" s="8">
        <v>0.0</v>
      </c>
      <c r="J509" s="8">
        <v>0.0</v>
      </c>
      <c r="K509" s="8">
        <v>0.0</v>
      </c>
    </row>
    <row r="510">
      <c r="A510" s="10">
        <v>508.0</v>
      </c>
      <c r="C510" s="7"/>
      <c r="D510" s="7"/>
      <c r="E510" s="8">
        <v>508.0</v>
      </c>
      <c r="F510" s="8">
        <v>0.0</v>
      </c>
      <c r="G510" s="8">
        <v>0.0</v>
      </c>
      <c r="H510" s="8">
        <v>0.0</v>
      </c>
      <c r="I510" s="8">
        <v>0.0</v>
      </c>
      <c r="J510" s="8">
        <v>0.0</v>
      </c>
      <c r="K510" s="8">
        <v>0.0</v>
      </c>
    </row>
    <row r="511">
      <c r="A511" s="10">
        <v>509.0</v>
      </c>
      <c r="C511" s="7"/>
      <c r="D511" s="7"/>
      <c r="E511" s="8">
        <v>509.0</v>
      </c>
      <c r="F511" s="8">
        <v>0.0</v>
      </c>
      <c r="G511" s="8">
        <v>0.0</v>
      </c>
      <c r="H511" s="8">
        <v>0.0</v>
      </c>
      <c r="I511" s="8">
        <v>0.0</v>
      </c>
      <c r="J511" s="8">
        <v>0.0</v>
      </c>
      <c r="K511" s="8">
        <v>0.0</v>
      </c>
    </row>
    <row r="512">
      <c r="A512" s="10">
        <v>510.0</v>
      </c>
      <c r="C512" s="7"/>
      <c r="D512" s="7"/>
      <c r="E512" s="8">
        <v>510.0</v>
      </c>
      <c r="F512" s="8">
        <v>0.0</v>
      </c>
      <c r="G512" s="8">
        <v>0.0</v>
      </c>
      <c r="H512" s="8">
        <v>0.0</v>
      </c>
      <c r="I512" s="8">
        <v>0.0</v>
      </c>
      <c r="J512" s="8">
        <v>0.0</v>
      </c>
      <c r="K512" s="8">
        <v>0.0</v>
      </c>
    </row>
    <row r="513">
      <c r="A513" s="10">
        <v>511.0</v>
      </c>
      <c r="C513" s="7"/>
      <c r="D513" s="7"/>
      <c r="E513" s="8">
        <v>511.0</v>
      </c>
      <c r="F513" s="8">
        <v>0.0</v>
      </c>
      <c r="G513" s="8">
        <v>0.0</v>
      </c>
      <c r="H513" s="8">
        <v>0.0</v>
      </c>
      <c r="I513" s="8">
        <v>0.0</v>
      </c>
      <c r="J513" s="8">
        <v>0.0</v>
      </c>
      <c r="K513" s="8">
        <v>0.0</v>
      </c>
    </row>
    <row r="514">
      <c r="A514" s="10">
        <v>512.0</v>
      </c>
      <c r="B514" s="6" t="s">
        <v>1111</v>
      </c>
      <c r="C514" s="7"/>
      <c r="D514" s="7"/>
      <c r="E514" s="8">
        <v>512.0</v>
      </c>
      <c r="F514" s="8">
        <v>0.0</v>
      </c>
      <c r="G514" s="8">
        <v>0.0</v>
      </c>
      <c r="H514" s="8">
        <v>0.0</v>
      </c>
      <c r="I514" s="8">
        <v>0.0</v>
      </c>
      <c r="J514" s="8">
        <v>0.0</v>
      </c>
      <c r="K514" s="8">
        <v>0.0</v>
      </c>
    </row>
    <row r="515">
      <c r="A515" s="10">
        <v>513.0</v>
      </c>
      <c r="B515" s="6" t="s">
        <v>780</v>
      </c>
      <c r="C515" s="7"/>
      <c r="D515" s="7"/>
    </row>
    <row r="516">
      <c r="A516" s="10">
        <v>514.0</v>
      </c>
      <c r="B516" s="6" t="s">
        <v>781</v>
      </c>
      <c r="C516" s="7"/>
      <c r="D516" s="7"/>
    </row>
    <row r="517">
      <c r="A517" s="10">
        <v>515.0</v>
      </c>
      <c r="B517" s="6" t="s">
        <v>782</v>
      </c>
      <c r="C517" s="7"/>
      <c r="D517" s="7"/>
    </row>
    <row r="518">
      <c r="A518" s="10">
        <v>516.0</v>
      </c>
      <c r="B518" s="6" t="s">
        <v>783</v>
      </c>
      <c r="C518" s="7"/>
      <c r="D518" s="7"/>
    </row>
    <row r="519">
      <c r="A519" s="10">
        <v>517.0</v>
      </c>
      <c r="B519" s="6" t="s">
        <v>784</v>
      </c>
      <c r="C519" s="7"/>
      <c r="D519" s="7"/>
    </row>
    <row r="520">
      <c r="A520" s="10">
        <v>518.0</v>
      </c>
      <c r="B520" s="6" t="s">
        <v>785</v>
      </c>
      <c r="C520" s="7"/>
      <c r="D520" s="7"/>
    </row>
    <row r="521">
      <c r="A521" s="10">
        <v>519.0</v>
      </c>
      <c r="B521" s="6" t="s">
        <v>786</v>
      </c>
      <c r="C521" s="7"/>
      <c r="D521" s="7"/>
    </row>
    <row r="522">
      <c r="A522" s="10">
        <v>520.0</v>
      </c>
      <c r="B522" s="6" t="s">
        <v>787</v>
      </c>
      <c r="C522" s="7"/>
      <c r="D522" s="7"/>
    </row>
    <row r="523">
      <c r="A523" s="10">
        <v>521.0</v>
      </c>
      <c r="B523" s="6" t="s">
        <v>788</v>
      </c>
      <c r="C523" s="7"/>
      <c r="D523" s="7"/>
    </row>
    <row r="524">
      <c r="A524" s="10">
        <v>522.0</v>
      </c>
      <c r="B524" s="6" t="s">
        <v>789</v>
      </c>
      <c r="C524" s="7"/>
      <c r="D524" s="7"/>
    </row>
    <row r="525">
      <c r="A525" s="10">
        <v>523.0</v>
      </c>
      <c r="B525" s="6" t="s">
        <v>790</v>
      </c>
      <c r="C525" s="7"/>
      <c r="D525" s="7"/>
    </row>
    <row r="526">
      <c r="A526" s="10">
        <v>524.0</v>
      </c>
      <c r="B526" s="6" t="s">
        <v>791</v>
      </c>
      <c r="C526" s="7"/>
      <c r="D526" s="7"/>
    </row>
    <row r="527">
      <c r="A527" s="10">
        <v>525.0</v>
      </c>
      <c r="B527" s="6" t="s">
        <v>792</v>
      </c>
      <c r="C527" s="7"/>
      <c r="D527" s="7"/>
    </row>
    <row r="528">
      <c r="A528" s="10">
        <v>526.0</v>
      </c>
      <c r="B528" s="6" t="s">
        <v>793</v>
      </c>
      <c r="C528" s="7"/>
      <c r="D528" s="7"/>
    </row>
    <row r="529">
      <c r="A529" s="10">
        <v>527.0</v>
      </c>
      <c r="B529" s="6" t="s">
        <v>794</v>
      </c>
      <c r="C529" s="7"/>
      <c r="D529" s="7"/>
    </row>
    <row r="530">
      <c r="A530" s="10">
        <v>528.0</v>
      </c>
      <c r="B530" s="6" t="s">
        <v>795</v>
      </c>
      <c r="C530" s="7"/>
      <c r="D530" s="7"/>
    </row>
    <row r="531">
      <c r="A531" s="10">
        <v>529.0</v>
      </c>
      <c r="B531" s="6" t="s">
        <v>796</v>
      </c>
      <c r="C531" s="7"/>
      <c r="D531" s="7"/>
    </row>
    <row r="532">
      <c r="A532" s="10">
        <v>530.0</v>
      </c>
      <c r="B532" s="6" t="s">
        <v>797</v>
      </c>
      <c r="C532" s="7"/>
      <c r="D532" s="7"/>
    </row>
    <row r="533">
      <c r="A533" s="10">
        <v>531.0</v>
      </c>
      <c r="B533" s="6" t="s">
        <v>798</v>
      </c>
      <c r="C533" s="7"/>
      <c r="D533" s="7"/>
    </row>
    <row r="534">
      <c r="A534" s="10">
        <v>532.0</v>
      </c>
      <c r="B534" s="6" t="s">
        <v>799</v>
      </c>
      <c r="C534" s="7"/>
      <c r="D534" s="7"/>
    </row>
    <row r="535">
      <c r="A535" s="10">
        <v>533.0</v>
      </c>
      <c r="B535" s="6" t="s">
        <v>800</v>
      </c>
      <c r="C535" s="7"/>
      <c r="D535" s="7"/>
    </row>
    <row r="536">
      <c r="A536" s="10">
        <v>534.0</v>
      </c>
      <c r="B536" s="6" t="s">
        <v>801</v>
      </c>
      <c r="C536" s="7"/>
      <c r="D536" s="7"/>
    </row>
    <row r="537">
      <c r="A537" s="10">
        <v>535.0</v>
      </c>
      <c r="B537" s="6" t="s">
        <v>802</v>
      </c>
      <c r="C537" s="7"/>
      <c r="D537" s="7"/>
    </row>
    <row r="538">
      <c r="A538" s="10">
        <v>536.0</v>
      </c>
      <c r="B538" s="6" t="s">
        <v>803</v>
      </c>
      <c r="C538" s="7"/>
      <c r="D538" s="7"/>
    </row>
    <row r="539">
      <c r="A539" s="10">
        <v>537.0</v>
      </c>
      <c r="B539" s="6" t="s">
        <v>804</v>
      </c>
      <c r="C539" s="7"/>
      <c r="D539" s="7"/>
    </row>
    <row r="540">
      <c r="A540" s="10">
        <v>538.0</v>
      </c>
      <c r="B540" s="6" t="s">
        <v>805</v>
      </c>
      <c r="C540" s="7"/>
      <c r="D540" s="7"/>
    </row>
    <row r="541">
      <c r="A541" s="10">
        <v>539.0</v>
      </c>
      <c r="B541" s="6" t="s">
        <v>806</v>
      </c>
      <c r="C541" s="7"/>
      <c r="D541" s="7"/>
    </row>
    <row r="542">
      <c r="A542" s="10">
        <v>540.0</v>
      </c>
      <c r="C542" s="7"/>
      <c r="D542" s="7"/>
    </row>
    <row r="543">
      <c r="A543" s="10">
        <v>541.0</v>
      </c>
      <c r="C543" s="7"/>
      <c r="D543" s="7"/>
    </row>
    <row r="544">
      <c r="A544" s="10">
        <v>542.0</v>
      </c>
      <c r="C544" s="7"/>
      <c r="D544" s="7"/>
    </row>
    <row r="545">
      <c r="A545" s="10">
        <v>543.0</v>
      </c>
      <c r="C545" s="7"/>
      <c r="D545" s="7"/>
    </row>
    <row r="546">
      <c r="A546" s="10">
        <v>544.0</v>
      </c>
      <c r="B546" s="6" t="s">
        <v>1112</v>
      </c>
      <c r="C546" s="7"/>
      <c r="D546" s="7"/>
    </row>
    <row r="547">
      <c r="A547" s="10">
        <v>545.0</v>
      </c>
      <c r="B547" s="6" t="s">
        <v>807</v>
      </c>
      <c r="C547" s="7"/>
      <c r="D547" s="7"/>
    </row>
    <row r="548">
      <c r="A548" s="10">
        <v>546.0</v>
      </c>
      <c r="B548" s="6" t="s">
        <v>808</v>
      </c>
      <c r="C548" s="7"/>
      <c r="D548" s="7"/>
    </row>
    <row r="549">
      <c r="A549" s="10">
        <v>547.0</v>
      </c>
      <c r="B549" s="6" t="s">
        <v>809</v>
      </c>
      <c r="C549" s="7"/>
      <c r="D549" s="7"/>
    </row>
    <row r="550">
      <c r="A550" s="10">
        <v>548.0</v>
      </c>
      <c r="B550" s="6" t="s">
        <v>810</v>
      </c>
      <c r="C550" s="7"/>
      <c r="D550" s="7"/>
    </row>
    <row r="551">
      <c r="A551" s="10">
        <v>549.0</v>
      </c>
      <c r="B551" s="6" t="s">
        <v>811</v>
      </c>
      <c r="C551" s="7"/>
      <c r="D551" s="7"/>
    </row>
    <row r="552">
      <c r="A552" s="10">
        <v>550.0</v>
      </c>
      <c r="B552" s="6" t="s">
        <v>812</v>
      </c>
      <c r="C552" s="7"/>
      <c r="D552" s="7"/>
    </row>
    <row r="553">
      <c r="A553" s="10">
        <v>551.0</v>
      </c>
      <c r="B553" s="6" t="s">
        <v>813</v>
      </c>
      <c r="C553" s="7"/>
      <c r="D553" s="7"/>
    </row>
    <row r="554">
      <c r="A554" s="10">
        <v>552.0</v>
      </c>
      <c r="B554" s="6" t="s">
        <v>814</v>
      </c>
      <c r="C554" s="7"/>
      <c r="D554" s="7"/>
    </row>
    <row r="555">
      <c r="A555" s="10">
        <v>553.0</v>
      </c>
      <c r="B555" s="6" t="s">
        <v>815</v>
      </c>
      <c r="C555" s="7"/>
      <c r="D555" s="7"/>
    </row>
    <row r="556">
      <c r="A556" s="10">
        <v>554.0</v>
      </c>
      <c r="B556" s="6" t="s">
        <v>816</v>
      </c>
      <c r="C556" s="7"/>
      <c r="D556" s="7"/>
    </row>
    <row r="557">
      <c r="A557" s="10">
        <v>555.0</v>
      </c>
      <c r="B557" s="6" t="s">
        <v>817</v>
      </c>
      <c r="C557" s="7"/>
      <c r="D557" s="7"/>
    </row>
    <row r="558">
      <c r="A558" s="10">
        <v>556.0</v>
      </c>
      <c r="B558" s="6" t="s">
        <v>818</v>
      </c>
      <c r="C558" s="7"/>
      <c r="D558" s="7"/>
    </row>
    <row r="559">
      <c r="A559" s="10">
        <v>557.0</v>
      </c>
      <c r="B559" s="6" t="s">
        <v>819</v>
      </c>
      <c r="C559" s="7"/>
      <c r="D559" s="7"/>
    </row>
    <row r="560">
      <c r="A560" s="10">
        <v>558.0</v>
      </c>
      <c r="B560" s="6" t="s">
        <v>820</v>
      </c>
      <c r="C560" s="7"/>
      <c r="D560" s="7"/>
    </row>
    <row r="561">
      <c r="A561" s="10">
        <v>559.0</v>
      </c>
      <c r="B561" s="6" t="s">
        <v>821</v>
      </c>
      <c r="C561" s="7"/>
      <c r="D561" s="7"/>
    </row>
    <row r="562">
      <c r="A562" s="10">
        <v>560.0</v>
      </c>
      <c r="B562" s="6" t="s">
        <v>822</v>
      </c>
      <c r="C562" s="7"/>
      <c r="D562" s="7"/>
    </row>
    <row r="563">
      <c r="A563" s="10">
        <v>561.0</v>
      </c>
      <c r="B563" s="6" t="s">
        <v>823</v>
      </c>
      <c r="C563" s="7"/>
      <c r="D563" s="7"/>
    </row>
    <row r="564">
      <c r="A564" s="10">
        <v>562.0</v>
      </c>
      <c r="B564" s="6" t="s">
        <v>824</v>
      </c>
      <c r="C564" s="7"/>
      <c r="D564" s="7"/>
    </row>
    <row r="565">
      <c r="A565" s="10">
        <v>563.0</v>
      </c>
      <c r="B565" s="6" t="s">
        <v>825</v>
      </c>
      <c r="C565" s="7"/>
      <c r="D565" s="7"/>
    </row>
    <row r="566">
      <c r="A566" s="10">
        <v>564.0</v>
      </c>
      <c r="B566" s="6" t="s">
        <v>826</v>
      </c>
      <c r="C566" s="7"/>
      <c r="D566" s="7"/>
    </row>
    <row r="567">
      <c r="A567" s="10">
        <v>565.0</v>
      </c>
      <c r="B567" s="6" t="s">
        <v>827</v>
      </c>
      <c r="C567" s="7"/>
      <c r="D567" s="7"/>
    </row>
    <row r="568">
      <c r="A568" s="10">
        <v>566.0</v>
      </c>
      <c r="B568" s="6" t="s">
        <v>828</v>
      </c>
      <c r="C568" s="7"/>
      <c r="D568" s="7"/>
    </row>
    <row r="569">
      <c r="A569" s="10">
        <v>567.0</v>
      </c>
      <c r="B569" s="6" t="s">
        <v>829</v>
      </c>
      <c r="C569" s="7"/>
      <c r="D569" s="7"/>
    </row>
    <row r="570">
      <c r="A570" s="10">
        <v>568.0</v>
      </c>
      <c r="B570" s="6" t="s">
        <v>830</v>
      </c>
      <c r="C570" s="7"/>
      <c r="D570" s="7"/>
    </row>
    <row r="571">
      <c r="A571" s="10">
        <v>569.0</v>
      </c>
      <c r="B571" s="6" t="s">
        <v>831</v>
      </c>
      <c r="C571" s="7"/>
      <c r="D571" s="7"/>
    </row>
    <row r="572">
      <c r="A572" s="10">
        <v>570.0</v>
      </c>
      <c r="B572" s="6" t="s">
        <v>832</v>
      </c>
      <c r="C572" s="7"/>
      <c r="D572" s="7"/>
    </row>
    <row r="573">
      <c r="A573" s="10">
        <v>571.0</v>
      </c>
      <c r="B573" s="6" t="s">
        <v>833</v>
      </c>
      <c r="C573" s="7"/>
      <c r="D573" s="7"/>
    </row>
    <row r="574">
      <c r="A574" s="10">
        <v>572.0</v>
      </c>
      <c r="C574" s="7"/>
      <c r="D574" s="7"/>
    </row>
    <row r="575">
      <c r="A575" s="10">
        <v>573.0</v>
      </c>
      <c r="C575" s="7"/>
      <c r="D575" s="7"/>
    </row>
    <row r="576">
      <c r="A576" s="10">
        <v>574.0</v>
      </c>
      <c r="C576" s="7"/>
      <c r="D576" s="7"/>
    </row>
    <row r="577">
      <c r="A577" s="10">
        <v>575.0</v>
      </c>
      <c r="C577" s="7"/>
      <c r="D577" s="7"/>
    </row>
    <row r="578">
      <c r="A578" s="10">
        <v>576.0</v>
      </c>
      <c r="B578" s="6" t="s">
        <v>1113</v>
      </c>
      <c r="C578" s="7"/>
      <c r="D578" s="7"/>
    </row>
    <row r="579">
      <c r="A579" s="10">
        <v>577.0</v>
      </c>
      <c r="B579" s="6" t="s">
        <v>835</v>
      </c>
      <c r="C579" s="7"/>
      <c r="D579" s="7"/>
    </row>
    <row r="580">
      <c r="A580" s="10">
        <v>578.0</v>
      </c>
      <c r="B580" s="6" t="s">
        <v>836</v>
      </c>
      <c r="C580" s="7"/>
      <c r="D580" s="7"/>
    </row>
    <row r="581">
      <c r="A581" s="10">
        <v>579.0</v>
      </c>
      <c r="B581" s="6" t="s">
        <v>837</v>
      </c>
      <c r="C581" s="7"/>
      <c r="D581" s="7"/>
    </row>
    <row r="582">
      <c r="A582" s="10">
        <v>580.0</v>
      </c>
      <c r="B582" s="6" t="s">
        <v>838</v>
      </c>
      <c r="C582" s="7"/>
      <c r="D582" s="7"/>
    </row>
    <row r="583">
      <c r="A583" s="10">
        <v>581.0</v>
      </c>
      <c r="B583" s="6" t="s">
        <v>839</v>
      </c>
      <c r="C583" s="7"/>
      <c r="D583" s="7"/>
    </row>
    <row r="584">
      <c r="A584" s="10">
        <v>582.0</v>
      </c>
      <c r="B584" s="6" t="s">
        <v>840</v>
      </c>
      <c r="C584" s="7"/>
      <c r="D584" s="7"/>
    </row>
    <row r="585">
      <c r="A585" s="10">
        <v>583.0</v>
      </c>
      <c r="B585" s="6" t="s">
        <v>841</v>
      </c>
      <c r="C585" s="7"/>
      <c r="D585" s="7"/>
    </row>
    <row r="586">
      <c r="A586" s="10">
        <v>584.0</v>
      </c>
      <c r="B586" s="6" t="s">
        <v>842</v>
      </c>
      <c r="C586" s="7"/>
      <c r="D586" s="7"/>
    </row>
    <row r="587">
      <c r="A587" s="10">
        <v>585.0</v>
      </c>
      <c r="B587" s="6" t="s">
        <v>843</v>
      </c>
      <c r="C587" s="7"/>
      <c r="D587" s="7"/>
    </row>
    <row r="588">
      <c r="A588" s="10">
        <v>586.0</v>
      </c>
      <c r="B588" s="6" t="s">
        <v>844</v>
      </c>
      <c r="C588" s="7"/>
      <c r="D588" s="7"/>
    </row>
    <row r="589">
      <c r="A589" s="10">
        <v>587.0</v>
      </c>
      <c r="B589" s="6" t="s">
        <v>845</v>
      </c>
      <c r="C589" s="7"/>
      <c r="D589" s="7"/>
    </row>
    <row r="590">
      <c r="A590" s="10">
        <v>588.0</v>
      </c>
      <c r="B590" s="6" t="s">
        <v>846</v>
      </c>
      <c r="C590" s="7"/>
      <c r="D590" s="7"/>
    </row>
    <row r="591">
      <c r="A591" s="10">
        <v>589.0</v>
      </c>
      <c r="B591" s="6" t="s">
        <v>847</v>
      </c>
      <c r="C591" s="7"/>
      <c r="D591" s="7"/>
    </row>
    <row r="592">
      <c r="A592" s="10">
        <v>590.0</v>
      </c>
      <c r="B592" s="6" t="s">
        <v>848</v>
      </c>
      <c r="C592" s="7"/>
      <c r="D592" s="7"/>
    </row>
    <row r="593">
      <c r="A593" s="10">
        <v>591.0</v>
      </c>
      <c r="B593" s="6" t="s">
        <v>849</v>
      </c>
      <c r="C593" s="7"/>
      <c r="D593" s="7"/>
    </row>
    <row r="594">
      <c r="A594" s="10">
        <v>592.0</v>
      </c>
      <c r="B594" s="6" t="s">
        <v>850</v>
      </c>
      <c r="C594" s="7"/>
      <c r="D594" s="7"/>
    </row>
    <row r="595">
      <c r="A595" s="10">
        <v>593.0</v>
      </c>
      <c r="B595" s="6" t="s">
        <v>851</v>
      </c>
      <c r="C595" s="7"/>
      <c r="D595" s="7"/>
    </row>
    <row r="596">
      <c r="A596" s="10">
        <v>594.0</v>
      </c>
      <c r="B596" s="6" t="s">
        <v>852</v>
      </c>
      <c r="C596" s="7"/>
      <c r="D596" s="7"/>
    </row>
    <row r="597">
      <c r="A597" s="10">
        <v>595.0</v>
      </c>
      <c r="B597" s="6" t="s">
        <v>853</v>
      </c>
      <c r="C597" s="7"/>
      <c r="D597" s="7"/>
    </row>
    <row r="598">
      <c r="A598" s="10">
        <v>596.0</v>
      </c>
      <c r="B598" s="6" t="s">
        <v>854</v>
      </c>
      <c r="C598" s="7"/>
      <c r="D598" s="7"/>
    </row>
    <row r="599">
      <c r="A599" s="10">
        <v>597.0</v>
      </c>
      <c r="B599" s="6" t="s">
        <v>855</v>
      </c>
      <c r="C599" s="7"/>
      <c r="D599" s="7"/>
    </row>
    <row r="600">
      <c r="A600" s="10">
        <v>598.0</v>
      </c>
      <c r="B600" s="6" t="s">
        <v>856</v>
      </c>
      <c r="C600" s="7"/>
      <c r="D600" s="7"/>
    </row>
    <row r="601">
      <c r="A601" s="10">
        <v>599.0</v>
      </c>
      <c r="B601" s="6" t="s">
        <v>857</v>
      </c>
      <c r="C601" s="7"/>
      <c r="D601" s="7"/>
    </row>
    <row r="602">
      <c r="A602" s="10">
        <v>600.0</v>
      </c>
      <c r="B602" s="6" t="s">
        <v>858</v>
      </c>
      <c r="C602" s="7"/>
      <c r="D602" s="7"/>
    </row>
    <row r="603">
      <c r="A603" s="10">
        <v>601.0</v>
      </c>
      <c r="B603" s="6" t="s">
        <v>859</v>
      </c>
      <c r="C603" s="7"/>
      <c r="D603" s="7"/>
    </row>
    <row r="604">
      <c r="A604" s="10">
        <v>602.0</v>
      </c>
      <c r="B604" s="6" t="s">
        <v>860</v>
      </c>
      <c r="C604" s="7"/>
      <c r="D604" s="7"/>
    </row>
    <row r="605">
      <c r="A605" s="10">
        <v>603.0</v>
      </c>
      <c r="B605" s="6" t="s">
        <v>861</v>
      </c>
      <c r="C605" s="7"/>
      <c r="D605" s="7"/>
    </row>
    <row r="606">
      <c r="A606" s="10">
        <v>604.0</v>
      </c>
      <c r="C606" s="7"/>
      <c r="D606" s="7"/>
    </row>
    <row r="607">
      <c r="A607" s="10">
        <v>605.0</v>
      </c>
      <c r="C607" s="7"/>
      <c r="D607" s="7"/>
    </row>
    <row r="608">
      <c r="A608" s="10">
        <v>606.0</v>
      </c>
      <c r="C608" s="7"/>
      <c r="D608" s="7"/>
    </row>
    <row r="609">
      <c r="A609" s="10">
        <v>607.0</v>
      </c>
      <c r="C609" s="7"/>
      <c r="D609" s="7"/>
    </row>
    <row r="610">
      <c r="A610" s="10">
        <v>608.0</v>
      </c>
      <c r="B610" s="6" t="s">
        <v>1114</v>
      </c>
      <c r="C610" s="7"/>
      <c r="D610" s="7"/>
    </row>
    <row r="611">
      <c r="A611" s="10">
        <v>609.0</v>
      </c>
      <c r="B611" s="6" t="s">
        <v>862</v>
      </c>
      <c r="C611" s="7"/>
      <c r="D611" s="7"/>
    </row>
    <row r="612">
      <c r="A612" s="10">
        <v>610.0</v>
      </c>
      <c r="B612" s="6" t="s">
        <v>863</v>
      </c>
      <c r="C612" s="7"/>
      <c r="D612" s="7"/>
    </row>
    <row r="613">
      <c r="A613" s="10">
        <v>611.0</v>
      </c>
      <c r="B613" s="6" t="s">
        <v>864</v>
      </c>
      <c r="C613" s="7"/>
      <c r="D613" s="7"/>
    </row>
    <row r="614">
      <c r="A614" s="10">
        <v>612.0</v>
      </c>
      <c r="B614" s="6" t="s">
        <v>865</v>
      </c>
      <c r="C614" s="7"/>
      <c r="D614" s="7"/>
    </row>
    <row r="615">
      <c r="A615" s="10">
        <v>613.0</v>
      </c>
      <c r="B615" s="6" t="s">
        <v>866</v>
      </c>
      <c r="C615" s="7"/>
      <c r="D615" s="7"/>
    </row>
    <row r="616">
      <c r="A616" s="10">
        <v>614.0</v>
      </c>
      <c r="B616" s="6" t="s">
        <v>867</v>
      </c>
      <c r="C616" s="7"/>
      <c r="D616" s="7"/>
    </row>
    <row r="617">
      <c r="A617" s="10">
        <v>615.0</v>
      </c>
      <c r="B617" s="6" t="s">
        <v>868</v>
      </c>
      <c r="C617" s="7"/>
      <c r="D617" s="7"/>
    </row>
    <row r="618">
      <c r="A618" s="10">
        <v>616.0</v>
      </c>
      <c r="B618" s="6" t="s">
        <v>869</v>
      </c>
      <c r="C618" s="7"/>
      <c r="D618" s="7"/>
    </row>
    <row r="619">
      <c r="A619" s="10">
        <v>617.0</v>
      </c>
      <c r="B619" s="6" t="s">
        <v>870</v>
      </c>
      <c r="C619" s="7"/>
      <c r="D619" s="7"/>
    </row>
    <row r="620">
      <c r="A620" s="10">
        <v>618.0</v>
      </c>
      <c r="B620" s="6" t="s">
        <v>871</v>
      </c>
      <c r="C620" s="7"/>
      <c r="D620" s="7"/>
    </row>
    <row r="621">
      <c r="A621" s="10">
        <v>619.0</v>
      </c>
      <c r="B621" s="6" t="s">
        <v>872</v>
      </c>
      <c r="C621" s="7"/>
      <c r="D621" s="7"/>
    </row>
    <row r="622">
      <c r="A622" s="10">
        <v>620.0</v>
      </c>
      <c r="B622" s="6" t="s">
        <v>873</v>
      </c>
      <c r="C622" s="7"/>
      <c r="D622" s="7"/>
    </row>
    <row r="623">
      <c r="A623" s="10">
        <v>621.0</v>
      </c>
      <c r="B623" s="6" t="s">
        <v>874</v>
      </c>
      <c r="C623" s="7"/>
      <c r="D623" s="7"/>
    </row>
    <row r="624">
      <c r="A624" s="10">
        <v>622.0</v>
      </c>
      <c r="B624" s="6" t="s">
        <v>875</v>
      </c>
      <c r="C624" s="7"/>
      <c r="D624" s="7"/>
    </row>
    <row r="625">
      <c r="A625" s="10">
        <v>623.0</v>
      </c>
      <c r="B625" s="6" t="s">
        <v>876</v>
      </c>
      <c r="C625" s="7"/>
      <c r="D625" s="7"/>
    </row>
    <row r="626">
      <c r="A626" s="10">
        <v>624.0</v>
      </c>
      <c r="B626" s="6" t="s">
        <v>877</v>
      </c>
      <c r="C626" s="7"/>
      <c r="D626" s="7"/>
    </row>
    <row r="627">
      <c r="A627" s="10">
        <v>625.0</v>
      </c>
      <c r="B627" s="6" t="s">
        <v>878</v>
      </c>
      <c r="C627" s="7"/>
      <c r="D627" s="7"/>
    </row>
    <row r="628">
      <c r="A628" s="10">
        <v>626.0</v>
      </c>
      <c r="B628" s="6" t="s">
        <v>879</v>
      </c>
      <c r="C628" s="7"/>
      <c r="D628" s="7"/>
    </row>
    <row r="629">
      <c r="A629" s="10">
        <v>627.0</v>
      </c>
      <c r="B629" s="6" t="s">
        <v>880</v>
      </c>
      <c r="C629" s="7"/>
      <c r="D629" s="7"/>
    </row>
    <row r="630">
      <c r="A630" s="10">
        <v>628.0</v>
      </c>
      <c r="B630" s="6" t="s">
        <v>881</v>
      </c>
      <c r="C630" s="7"/>
      <c r="D630" s="7"/>
    </row>
    <row r="631">
      <c r="A631" s="10">
        <v>629.0</v>
      </c>
      <c r="B631" s="6" t="s">
        <v>882</v>
      </c>
      <c r="C631" s="7"/>
      <c r="D631" s="7"/>
    </row>
    <row r="632">
      <c r="A632" s="10">
        <v>630.0</v>
      </c>
      <c r="B632" s="6" t="s">
        <v>883</v>
      </c>
      <c r="C632" s="7"/>
      <c r="D632" s="7"/>
    </row>
    <row r="633">
      <c r="A633" s="10">
        <v>631.0</v>
      </c>
      <c r="B633" s="6" t="s">
        <v>884</v>
      </c>
      <c r="C633" s="7"/>
      <c r="D633" s="7"/>
    </row>
    <row r="634">
      <c r="A634" s="10">
        <v>632.0</v>
      </c>
      <c r="B634" s="6" t="s">
        <v>885</v>
      </c>
      <c r="C634" s="7"/>
      <c r="D634" s="7"/>
    </row>
    <row r="635">
      <c r="A635" s="10">
        <v>633.0</v>
      </c>
      <c r="B635" s="6" t="s">
        <v>886</v>
      </c>
      <c r="C635" s="7"/>
      <c r="D635" s="7"/>
    </row>
    <row r="636">
      <c r="A636" s="10">
        <v>634.0</v>
      </c>
      <c r="B636" s="6" t="s">
        <v>887</v>
      </c>
      <c r="C636" s="7"/>
      <c r="D636" s="7"/>
    </row>
    <row r="637">
      <c r="A637" s="10">
        <v>635.0</v>
      </c>
      <c r="B637" s="6" t="s">
        <v>888</v>
      </c>
      <c r="C637" s="7"/>
      <c r="D637" s="7"/>
    </row>
    <row r="638">
      <c r="A638" s="10">
        <v>636.0</v>
      </c>
      <c r="C638" s="7"/>
      <c r="D638" s="7"/>
    </row>
    <row r="639">
      <c r="A639" s="10">
        <v>637.0</v>
      </c>
      <c r="C639" s="7"/>
      <c r="D639" s="7"/>
    </row>
    <row r="640">
      <c r="A640" s="10">
        <v>638.0</v>
      </c>
      <c r="C640" s="7"/>
      <c r="D640" s="7"/>
    </row>
    <row r="641">
      <c r="A641" s="10">
        <v>639.0</v>
      </c>
      <c r="C641" s="7"/>
      <c r="D641" s="7"/>
    </row>
    <row r="642">
      <c r="A642" s="10">
        <v>640.0</v>
      </c>
      <c r="B642" s="6" t="s">
        <v>1115</v>
      </c>
      <c r="C642" s="7"/>
      <c r="D642" s="7"/>
    </row>
    <row r="643">
      <c r="A643" s="10">
        <v>641.0</v>
      </c>
      <c r="B643" s="6" t="s">
        <v>890</v>
      </c>
      <c r="C643" s="7"/>
      <c r="D643" s="7"/>
    </row>
    <row r="644">
      <c r="A644" s="10">
        <v>642.0</v>
      </c>
      <c r="B644" s="6" t="s">
        <v>891</v>
      </c>
      <c r="C644" s="7"/>
      <c r="D644" s="7"/>
    </row>
    <row r="645">
      <c r="A645" s="10">
        <v>643.0</v>
      </c>
      <c r="B645" s="6" t="s">
        <v>892</v>
      </c>
      <c r="C645" s="7"/>
      <c r="D645" s="7"/>
    </row>
    <row r="646">
      <c r="A646" s="10">
        <v>644.0</v>
      </c>
      <c r="B646" s="6" t="s">
        <v>893</v>
      </c>
      <c r="C646" s="7"/>
      <c r="D646" s="7"/>
    </row>
    <row r="647">
      <c r="A647" s="10">
        <v>645.0</v>
      </c>
      <c r="B647" s="6" t="s">
        <v>894</v>
      </c>
      <c r="C647" s="7"/>
      <c r="D647" s="7"/>
    </row>
    <row r="648">
      <c r="A648" s="10">
        <v>646.0</v>
      </c>
      <c r="B648" s="6" t="s">
        <v>895</v>
      </c>
      <c r="C648" s="7"/>
      <c r="D648" s="7"/>
    </row>
    <row r="649">
      <c r="A649" s="10">
        <v>647.0</v>
      </c>
      <c r="B649" s="6" t="s">
        <v>896</v>
      </c>
      <c r="C649" s="7"/>
      <c r="D649" s="7"/>
    </row>
    <row r="650">
      <c r="A650" s="10">
        <v>648.0</v>
      </c>
      <c r="B650" s="6" t="s">
        <v>897</v>
      </c>
      <c r="C650" s="7"/>
      <c r="D650" s="7"/>
    </row>
    <row r="651">
      <c r="A651" s="10">
        <v>649.0</v>
      </c>
      <c r="B651" s="6" t="s">
        <v>898</v>
      </c>
      <c r="C651" s="7"/>
      <c r="D651" s="7"/>
    </row>
    <row r="652">
      <c r="A652" s="10">
        <v>650.0</v>
      </c>
      <c r="B652" s="6" t="s">
        <v>899</v>
      </c>
      <c r="C652" s="7"/>
      <c r="D652" s="7"/>
    </row>
    <row r="653">
      <c r="A653" s="10">
        <v>651.0</v>
      </c>
      <c r="B653" s="6" t="s">
        <v>900</v>
      </c>
      <c r="C653" s="7"/>
      <c r="D653" s="7"/>
    </row>
    <row r="654">
      <c r="A654" s="10">
        <v>652.0</v>
      </c>
      <c r="B654" s="6" t="s">
        <v>901</v>
      </c>
      <c r="C654" s="7"/>
      <c r="D654" s="7"/>
    </row>
    <row r="655">
      <c r="A655" s="10">
        <v>653.0</v>
      </c>
      <c r="B655" s="6" t="s">
        <v>902</v>
      </c>
      <c r="C655" s="7"/>
      <c r="D655" s="7"/>
    </row>
    <row r="656">
      <c r="A656" s="10">
        <v>654.0</v>
      </c>
      <c r="B656" s="6" t="s">
        <v>903</v>
      </c>
      <c r="C656" s="7"/>
      <c r="D656" s="7"/>
    </row>
    <row r="657">
      <c r="A657" s="10">
        <v>655.0</v>
      </c>
      <c r="B657" s="6" t="s">
        <v>904</v>
      </c>
      <c r="C657" s="7"/>
      <c r="D657" s="7"/>
    </row>
    <row r="658">
      <c r="A658" s="10">
        <v>656.0</v>
      </c>
      <c r="B658" s="6" t="s">
        <v>905</v>
      </c>
      <c r="C658" s="7"/>
      <c r="D658" s="7"/>
    </row>
    <row r="659">
      <c r="A659" s="10">
        <v>657.0</v>
      </c>
      <c r="B659" s="6" t="s">
        <v>906</v>
      </c>
      <c r="C659" s="7"/>
      <c r="D659" s="7"/>
    </row>
    <row r="660">
      <c r="A660" s="10">
        <v>658.0</v>
      </c>
      <c r="B660" s="6" t="s">
        <v>907</v>
      </c>
      <c r="C660" s="7"/>
      <c r="D660" s="7"/>
    </row>
    <row r="661">
      <c r="A661" s="10">
        <v>659.0</v>
      </c>
      <c r="B661" s="6" t="s">
        <v>908</v>
      </c>
      <c r="C661" s="7"/>
      <c r="D661" s="7"/>
    </row>
    <row r="662">
      <c r="A662" s="10">
        <v>660.0</v>
      </c>
      <c r="B662" s="6" t="s">
        <v>909</v>
      </c>
      <c r="C662" s="7"/>
      <c r="D662" s="7"/>
    </row>
    <row r="663">
      <c r="A663" s="10">
        <v>661.0</v>
      </c>
      <c r="B663" s="6" t="s">
        <v>910</v>
      </c>
      <c r="C663" s="7"/>
      <c r="D663" s="7"/>
    </row>
    <row r="664">
      <c r="A664" s="10">
        <v>662.0</v>
      </c>
      <c r="B664" s="6" t="s">
        <v>911</v>
      </c>
      <c r="C664" s="7"/>
      <c r="D664" s="7"/>
    </row>
    <row r="665">
      <c r="A665" s="10">
        <v>663.0</v>
      </c>
      <c r="B665" s="6" t="s">
        <v>912</v>
      </c>
      <c r="C665" s="7"/>
      <c r="D665" s="7"/>
    </row>
    <row r="666">
      <c r="A666" s="10">
        <v>664.0</v>
      </c>
      <c r="B666" s="6" t="s">
        <v>913</v>
      </c>
      <c r="C666" s="7"/>
      <c r="D666" s="7"/>
    </row>
    <row r="667">
      <c r="A667" s="10">
        <v>665.0</v>
      </c>
      <c r="B667" s="6" t="s">
        <v>914</v>
      </c>
      <c r="C667" s="7"/>
      <c r="D667" s="7"/>
    </row>
    <row r="668">
      <c r="A668" s="10">
        <v>666.0</v>
      </c>
      <c r="B668" s="6" t="s">
        <v>915</v>
      </c>
      <c r="C668" s="7"/>
      <c r="D668" s="7"/>
    </row>
    <row r="669">
      <c r="A669" s="10">
        <v>667.0</v>
      </c>
      <c r="B669" s="6" t="s">
        <v>916</v>
      </c>
      <c r="C669" s="7"/>
      <c r="D669" s="7"/>
    </row>
    <row r="670">
      <c r="A670" s="10">
        <v>668.0</v>
      </c>
      <c r="C670" s="7"/>
      <c r="D670" s="7"/>
    </row>
    <row r="671">
      <c r="A671" s="10">
        <v>669.0</v>
      </c>
      <c r="C671" s="7"/>
      <c r="D671" s="7"/>
    </row>
    <row r="672">
      <c r="A672" s="10">
        <v>670.0</v>
      </c>
      <c r="C672" s="7"/>
      <c r="D672" s="7"/>
    </row>
    <row r="673">
      <c r="A673" s="10">
        <v>671.0</v>
      </c>
      <c r="C673" s="7"/>
      <c r="D673" s="7"/>
    </row>
    <row r="674">
      <c r="A674" s="10">
        <v>672.0</v>
      </c>
      <c r="B674" s="6" t="s">
        <v>1116</v>
      </c>
      <c r="C674" s="7"/>
      <c r="D674" s="7"/>
    </row>
    <row r="675">
      <c r="A675" s="10">
        <v>673.0</v>
      </c>
      <c r="B675" s="6" t="s">
        <v>917</v>
      </c>
      <c r="C675" s="7"/>
      <c r="D675" s="7"/>
    </row>
    <row r="676">
      <c r="A676" s="10">
        <v>674.0</v>
      </c>
      <c r="B676" s="6" t="s">
        <v>918</v>
      </c>
      <c r="C676" s="7"/>
      <c r="D676" s="7"/>
    </row>
    <row r="677">
      <c r="A677" s="10">
        <v>675.0</v>
      </c>
      <c r="B677" s="6" t="s">
        <v>919</v>
      </c>
      <c r="C677" s="7"/>
      <c r="D677" s="7"/>
    </row>
    <row r="678">
      <c r="A678" s="10">
        <v>676.0</v>
      </c>
      <c r="B678" s="6" t="s">
        <v>920</v>
      </c>
      <c r="C678" s="7"/>
      <c r="D678" s="7"/>
    </row>
    <row r="679">
      <c r="A679" s="10">
        <v>677.0</v>
      </c>
      <c r="B679" s="6" t="s">
        <v>921</v>
      </c>
      <c r="C679" s="7"/>
      <c r="D679" s="7"/>
    </row>
    <row r="680">
      <c r="A680" s="10">
        <v>678.0</v>
      </c>
      <c r="B680" s="6" t="s">
        <v>922</v>
      </c>
      <c r="C680" s="7"/>
      <c r="D680" s="7"/>
    </row>
    <row r="681">
      <c r="A681" s="10">
        <v>679.0</v>
      </c>
      <c r="B681" s="6" t="s">
        <v>923</v>
      </c>
      <c r="C681" s="7"/>
      <c r="D681" s="7"/>
    </row>
    <row r="682">
      <c r="A682" s="10">
        <v>680.0</v>
      </c>
      <c r="B682" s="6" t="s">
        <v>924</v>
      </c>
      <c r="C682" s="7"/>
      <c r="D682" s="7"/>
    </row>
    <row r="683">
      <c r="A683" s="10">
        <v>681.0</v>
      </c>
      <c r="B683" s="6" t="s">
        <v>925</v>
      </c>
      <c r="C683" s="7"/>
      <c r="D683" s="7"/>
    </row>
    <row r="684">
      <c r="A684" s="10">
        <v>682.0</v>
      </c>
      <c r="B684" s="6" t="s">
        <v>926</v>
      </c>
      <c r="C684" s="7"/>
      <c r="D684" s="7"/>
    </row>
    <row r="685">
      <c r="A685" s="10">
        <v>683.0</v>
      </c>
      <c r="B685" s="6" t="s">
        <v>927</v>
      </c>
      <c r="C685" s="7"/>
      <c r="D685" s="7"/>
    </row>
    <row r="686">
      <c r="A686" s="10">
        <v>684.0</v>
      </c>
      <c r="B686" s="6" t="s">
        <v>928</v>
      </c>
      <c r="C686" s="7"/>
      <c r="D686" s="7"/>
    </row>
    <row r="687">
      <c r="A687" s="10">
        <v>685.0</v>
      </c>
      <c r="B687" s="6" t="s">
        <v>929</v>
      </c>
      <c r="C687" s="7"/>
      <c r="D687" s="7"/>
    </row>
    <row r="688">
      <c r="A688" s="10">
        <v>686.0</v>
      </c>
      <c r="B688" s="6" t="s">
        <v>930</v>
      </c>
      <c r="C688" s="7"/>
      <c r="D688" s="7"/>
    </row>
    <row r="689">
      <c r="A689" s="10">
        <v>687.0</v>
      </c>
      <c r="B689" s="6" t="s">
        <v>931</v>
      </c>
      <c r="C689" s="7"/>
      <c r="D689" s="7"/>
    </row>
    <row r="690">
      <c r="A690" s="10">
        <v>688.0</v>
      </c>
      <c r="B690" s="6" t="s">
        <v>932</v>
      </c>
      <c r="C690" s="7"/>
      <c r="D690" s="7"/>
    </row>
    <row r="691">
      <c r="A691" s="10">
        <v>689.0</v>
      </c>
      <c r="B691" s="6" t="s">
        <v>933</v>
      </c>
      <c r="C691" s="7"/>
      <c r="D691" s="7"/>
    </row>
    <row r="692">
      <c r="A692" s="10">
        <v>690.0</v>
      </c>
      <c r="B692" s="6" t="s">
        <v>934</v>
      </c>
      <c r="C692" s="7"/>
      <c r="D692" s="7"/>
    </row>
    <row r="693">
      <c r="A693" s="10">
        <v>691.0</v>
      </c>
      <c r="B693" s="6" t="s">
        <v>935</v>
      </c>
      <c r="C693" s="7"/>
      <c r="D693" s="7"/>
    </row>
    <row r="694">
      <c r="A694" s="10">
        <v>692.0</v>
      </c>
      <c r="B694" s="6" t="s">
        <v>936</v>
      </c>
      <c r="C694" s="7"/>
      <c r="D694" s="7"/>
    </row>
    <row r="695">
      <c r="A695" s="10">
        <v>693.0</v>
      </c>
      <c r="B695" s="6" t="s">
        <v>937</v>
      </c>
      <c r="C695" s="7"/>
      <c r="D695" s="7"/>
    </row>
    <row r="696">
      <c r="A696" s="10">
        <v>694.0</v>
      </c>
      <c r="B696" s="6" t="s">
        <v>938</v>
      </c>
      <c r="C696" s="7"/>
      <c r="D696" s="7"/>
    </row>
    <row r="697">
      <c r="A697" s="10">
        <v>695.0</v>
      </c>
      <c r="B697" s="6" t="s">
        <v>939</v>
      </c>
      <c r="C697" s="7"/>
      <c r="D697" s="7"/>
    </row>
    <row r="698">
      <c r="A698" s="10">
        <v>696.0</v>
      </c>
      <c r="B698" s="6" t="s">
        <v>940</v>
      </c>
      <c r="C698" s="7"/>
      <c r="D698" s="7"/>
    </row>
    <row r="699">
      <c r="A699" s="10">
        <v>697.0</v>
      </c>
      <c r="B699" s="6" t="s">
        <v>941</v>
      </c>
      <c r="C699" s="7"/>
      <c r="D699" s="7"/>
    </row>
    <row r="700">
      <c r="A700" s="10">
        <v>698.0</v>
      </c>
      <c r="B700" s="6" t="s">
        <v>942</v>
      </c>
      <c r="C700" s="7"/>
      <c r="D700" s="7"/>
    </row>
    <row r="701">
      <c r="A701" s="10">
        <v>699.0</v>
      </c>
      <c r="B701" s="6" t="s">
        <v>943</v>
      </c>
      <c r="C701" s="7"/>
      <c r="D701" s="7"/>
    </row>
    <row r="702">
      <c r="A702" s="10">
        <v>700.0</v>
      </c>
      <c r="C702" s="7"/>
      <c r="D702" s="7"/>
    </row>
    <row r="703">
      <c r="A703" s="10">
        <v>701.0</v>
      </c>
      <c r="C703" s="7"/>
      <c r="D703" s="7"/>
    </row>
    <row r="704">
      <c r="A704" s="10">
        <v>702.0</v>
      </c>
      <c r="C704" s="7"/>
      <c r="D704" s="7"/>
    </row>
    <row r="705">
      <c r="A705" s="10">
        <v>703.0</v>
      </c>
      <c r="C705" s="7"/>
      <c r="D705" s="7"/>
    </row>
    <row r="706">
      <c r="A706" s="10">
        <v>704.0</v>
      </c>
      <c r="B706" s="6" t="s">
        <v>1117</v>
      </c>
      <c r="C706" s="7"/>
      <c r="D706" s="7"/>
    </row>
    <row r="707">
      <c r="A707" s="10">
        <v>705.0</v>
      </c>
      <c r="B707" s="6" t="s">
        <v>945</v>
      </c>
      <c r="C707" s="7"/>
      <c r="D707" s="7"/>
    </row>
    <row r="708">
      <c r="A708" s="10">
        <v>706.0</v>
      </c>
      <c r="B708" s="6" t="s">
        <v>946</v>
      </c>
      <c r="C708" s="7"/>
      <c r="D708" s="7"/>
    </row>
    <row r="709">
      <c r="A709" s="10">
        <v>707.0</v>
      </c>
      <c r="B709" s="6" t="s">
        <v>947</v>
      </c>
      <c r="C709" s="7"/>
      <c r="D709" s="7"/>
    </row>
    <row r="710">
      <c r="A710" s="10">
        <v>708.0</v>
      </c>
      <c r="B710" s="6" t="s">
        <v>948</v>
      </c>
      <c r="C710" s="7"/>
      <c r="D710" s="7"/>
    </row>
    <row r="711">
      <c r="A711" s="10">
        <v>709.0</v>
      </c>
      <c r="B711" s="6" t="s">
        <v>949</v>
      </c>
      <c r="C711" s="7"/>
      <c r="D711" s="7"/>
    </row>
    <row r="712">
      <c r="A712" s="10">
        <v>710.0</v>
      </c>
      <c r="B712" s="6" t="s">
        <v>950</v>
      </c>
      <c r="C712" s="7"/>
      <c r="D712" s="7"/>
    </row>
    <row r="713">
      <c r="A713" s="10">
        <v>711.0</v>
      </c>
      <c r="B713" s="6" t="s">
        <v>951</v>
      </c>
      <c r="C713" s="7"/>
      <c r="D713" s="7"/>
    </row>
    <row r="714">
      <c r="A714" s="10">
        <v>712.0</v>
      </c>
      <c r="B714" s="6" t="s">
        <v>952</v>
      </c>
      <c r="C714" s="7"/>
      <c r="D714" s="7"/>
    </row>
    <row r="715">
      <c r="A715" s="10">
        <v>713.0</v>
      </c>
      <c r="B715" s="6" t="s">
        <v>953</v>
      </c>
      <c r="C715" s="7"/>
      <c r="D715" s="7"/>
    </row>
    <row r="716">
      <c r="A716" s="10">
        <v>714.0</v>
      </c>
      <c r="B716" s="6" t="s">
        <v>954</v>
      </c>
      <c r="C716" s="7"/>
      <c r="D716" s="7"/>
    </row>
    <row r="717">
      <c r="A717" s="10">
        <v>715.0</v>
      </c>
      <c r="B717" s="6" t="s">
        <v>955</v>
      </c>
      <c r="C717" s="7"/>
      <c r="D717" s="7"/>
    </row>
    <row r="718">
      <c r="A718" s="10">
        <v>716.0</v>
      </c>
      <c r="B718" s="6" t="s">
        <v>956</v>
      </c>
      <c r="C718" s="7"/>
      <c r="D718" s="7"/>
    </row>
    <row r="719">
      <c r="A719" s="10">
        <v>717.0</v>
      </c>
      <c r="B719" s="6" t="s">
        <v>957</v>
      </c>
      <c r="C719" s="7"/>
      <c r="D719" s="7"/>
    </row>
    <row r="720">
      <c r="A720" s="10">
        <v>718.0</v>
      </c>
      <c r="B720" s="6" t="s">
        <v>958</v>
      </c>
      <c r="C720" s="7"/>
      <c r="D720" s="7"/>
    </row>
    <row r="721">
      <c r="A721" s="10">
        <v>719.0</v>
      </c>
      <c r="B721" s="6" t="s">
        <v>959</v>
      </c>
      <c r="C721" s="7"/>
      <c r="D721" s="7"/>
    </row>
    <row r="722">
      <c r="A722" s="10">
        <v>720.0</v>
      </c>
      <c r="B722" s="6" t="s">
        <v>960</v>
      </c>
      <c r="C722" s="7"/>
      <c r="D722" s="7"/>
    </row>
    <row r="723">
      <c r="A723" s="10">
        <v>721.0</v>
      </c>
      <c r="B723" s="6" t="s">
        <v>961</v>
      </c>
      <c r="C723" s="7"/>
      <c r="D723" s="7"/>
    </row>
    <row r="724">
      <c r="A724" s="10">
        <v>722.0</v>
      </c>
      <c r="B724" s="6" t="s">
        <v>962</v>
      </c>
      <c r="C724" s="7"/>
      <c r="D724" s="7"/>
    </row>
    <row r="725">
      <c r="A725" s="10">
        <v>723.0</v>
      </c>
      <c r="B725" s="6" t="s">
        <v>963</v>
      </c>
      <c r="C725" s="7"/>
      <c r="D725" s="7"/>
    </row>
    <row r="726">
      <c r="A726" s="10">
        <v>724.0</v>
      </c>
      <c r="B726" s="6" t="s">
        <v>964</v>
      </c>
      <c r="C726" s="7"/>
      <c r="D726" s="7"/>
    </row>
    <row r="727">
      <c r="A727" s="10">
        <v>725.0</v>
      </c>
      <c r="B727" s="6" t="s">
        <v>965</v>
      </c>
      <c r="C727" s="7"/>
      <c r="D727" s="7"/>
    </row>
    <row r="728">
      <c r="A728" s="10">
        <v>726.0</v>
      </c>
      <c r="B728" s="6" t="s">
        <v>966</v>
      </c>
      <c r="C728" s="7"/>
      <c r="D728" s="7"/>
    </row>
    <row r="729">
      <c r="A729" s="10">
        <v>727.0</v>
      </c>
      <c r="B729" s="6" t="s">
        <v>967</v>
      </c>
      <c r="C729" s="7"/>
      <c r="D729" s="7"/>
    </row>
    <row r="730">
      <c r="A730" s="10">
        <v>728.0</v>
      </c>
      <c r="B730" s="6" t="s">
        <v>968</v>
      </c>
      <c r="C730" s="7"/>
      <c r="D730" s="7"/>
    </row>
    <row r="731">
      <c r="A731" s="10">
        <v>729.0</v>
      </c>
      <c r="B731" s="6" t="s">
        <v>969</v>
      </c>
      <c r="C731" s="7"/>
      <c r="D731" s="7"/>
    </row>
    <row r="732">
      <c r="A732" s="10">
        <v>730.0</v>
      </c>
      <c r="B732" s="6" t="s">
        <v>970</v>
      </c>
      <c r="C732" s="7"/>
      <c r="D732" s="7"/>
    </row>
    <row r="733">
      <c r="A733" s="10">
        <v>731.0</v>
      </c>
      <c r="B733" s="6" t="s">
        <v>971</v>
      </c>
      <c r="C733" s="7"/>
      <c r="D733" s="7"/>
    </row>
    <row r="734">
      <c r="A734" s="10">
        <v>732.0</v>
      </c>
      <c r="C734" s="7"/>
      <c r="D734" s="7"/>
    </row>
    <row r="735">
      <c r="A735" s="10">
        <v>733.0</v>
      </c>
      <c r="C735" s="7"/>
      <c r="D735" s="7"/>
    </row>
    <row r="736">
      <c r="A736" s="10">
        <v>734.0</v>
      </c>
      <c r="C736" s="7"/>
      <c r="D736" s="7"/>
    </row>
    <row r="737">
      <c r="A737" s="10">
        <v>735.0</v>
      </c>
      <c r="C737" s="7"/>
      <c r="D737" s="7"/>
    </row>
    <row r="738">
      <c r="A738" s="10">
        <v>736.0</v>
      </c>
      <c r="B738" s="6" t="s">
        <v>1118</v>
      </c>
      <c r="C738" s="7"/>
      <c r="D738" s="7"/>
    </row>
    <row r="739">
      <c r="A739" s="10">
        <v>737.0</v>
      </c>
      <c r="B739" s="6" t="s">
        <v>972</v>
      </c>
      <c r="C739" s="7"/>
      <c r="D739" s="7"/>
    </row>
    <row r="740">
      <c r="A740" s="10">
        <v>738.0</v>
      </c>
      <c r="B740" s="6" t="s">
        <v>973</v>
      </c>
      <c r="C740" s="7"/>
      <c r="D740" s="7"/>
    </row>
    <row r="741">
      <c r="A741" s="10">
        <v>739.0</v>
      </c>
      <c r="B741" s="6" t="s">
        <v>974</v>
      </c>
      <c r="C741" s="7"/>
      <c r="D741" s="7"/>
    </row>
    <row r="742">
      <c r="A742" s="10">
        <v>740.0</v>
      </c>
      <c r="B742" s="6" t="s">
        <v>975</v>
      </c>
      <c r="C742" s="7"/>
      <c r="D742" s="7"/>
    </row>
    <row r="743">
      <c r="A743" s="10">
        <v>741.0</v>
      </c>
      <c r="B743" s="6" t="s">
        <v>976</v>
      </c>
      <c r="C743" s="7"/>
      <c r="D743" s="7"/>
    </row>
    <row r="744">
      <c r="A744" s="10">
        <v>742.0</v>
      </c>
      <c r="B744" s="6" t="s">
        <v>977</v>
      </c>
      <c r="C744" s="7"/>
      <c r="D744" s="7"/>
    </row>
    <row r="745">
      <c r="A745" s="10">
        <v>743.0</v>
      </c>
      <c r="B745" s="6" t="s">
        <v>978</v>
      </c>
      <c r="C745" s="7"/>
      <c r="D745" s="7"/>
    </row>
    <row r="746">
      <c r="A746" s="10">
        <v>744.0</v>
      </c>
      <c r="B746" s="6" t="s">
        <v>979</v>
      </c>
      <c r="C746" s="7"/>
      <c r="D746" s="7"/>
    </row>
    <row r="747">
      <c r="A747" s="10">
        <v>745.0</v>
      </c>
      <c r="B747" s="6" t="s">
        <v>980</v>
      </c>
      <c r="C747" s="7"/>
      <c r="D747" s="7"/>
    </row>
    <row r="748">
      <c r="A748" s="10">
        <v>746.0</v>
      </c>
      <c r="B748" s="6" t="s">
        <v>981</v>
      </c>
      <c r="C748" s="7"/>
      <c r="D748" s="7"/>
    </row>
    <row r="749">
      <c r="A749" s="10">
        <v>747.0</v>
      </c>
      <c r="B749" s="6" t="s">
        <v>982</v>
      </c>
      <c r="C749" s="7"/>
      <c r="D749" s="7"/>
    </row>
    <row r="750">
      <c r="A750" s="10">
        <v>748.0</v>
      </c>
      <c r="B750" s="6" t="s">
        <v>983</v>
      </c>
      <c r="C750" s="7"/>
      <c r="D750" s="7"/>
    </row>
    <row r="751">
      <c r="A751" s="10">
        <v>749.0</v>
      </c>
      <c r="B751" s="6" t="s">
        <v>984</v>
      </c>
      <c r="C751" s="7"/>
      <c r="D751" s="7"/>
    </row>
    <row r="752">
      <c r="A752" s="10">
        <v>750.0</v>
      </c>
      <c r="B752" s="6" t="s">
        <v>985</v>
      </c>
      <c r="C752" s="7"/>
      <c r="D752" s="7"/>
    </row>
    <row r="753">
      <c r="A753" s="10">
        <v>751.0</v>
      </c>
      <c r="B753" s="6" t="s">
        <v>986</v>
      </c>
      <c r="C753" s="7"/>
      <c r="D753" s="7"/>
    </row>
    <row r="754">
      <c r="A754" s="10">
        <v>752.0</v>
      </c>
      <c r="B754" s="6" t="s">
        <v>987</v>
      </c>
      <c r="C754" s="7"/>
      <c r="D754" s="7"/>
    </row>
    <row r="755">
      <c r="A755" s="10">
        <v>753.0</v>
      </c>
      <c r="B755" s="6" t="s">
        <v>988</v>
      </c>
      <c r="C755" s="7"/>
      <c r="D755" s="7"/>
    </row>
    <row r="756">
      <c r="A756" s="10">
        <v>754.0</v>
      </c>
      <c r="B756" s="6" t="s">
        <v>989</v>
      </c>
      <c r="C756" s="7"/>
      <c r="D756" s="7"/>
    </row>
    <row r="757">
      <c r="A757" s="10">
        <v>755.0</v>
      </c>
      <c r="B757" s="6" t="s">
        <v>990</v>
      </c>
      <c r="C757" s="7"/>
      <c r="D757" s="7"/>
    </row>
    <row r="758">
      <c r="A758" s="10">
        <v>756.0</v>
      </c>
      <c r="B758" s="6" t="s">
        <v>991</v>
      </c>
      <c r="C758" s="7"/>
      <c r="D758" s="7"/>
    </row>
    <row r="759">
      <c r="A759" s="10">
        <v>757.0</v>
      </c>
      <c r="B759" s="6" t="s">
        <v>992</v>
      </c>
      <c r="C759" s="7"/>
      <c r="D759" s="7"/>
    </row>
    <row r="760">
      <c r="A760" s="10">
        <v>758.0</v>
      </c>
      <c r="B760" s="6" t="s">
        <v>993</v>
      </c>
      <c r="C760" s="7"/>
      <c r="D760" s="7"/>
    </row>
    <row r="761">
      <c r="A761" s="10">
        <v>759.0</v>
      </c>
      <c r="B761" s="6" t="s">
        <v>994</v>
      </c>
      <c r="C761" s="7"/>
      <c r="D761" s="7"/>
    </row>
    <row r="762">
      <c r="A762" s="10">
        <v>760.0</v>
      </c>
      <c r="B762" s="6" t="s">
        <v>995</v>
      </c>
      <c r="C762" s="7"/>
      <c r="D762" s="7"/>
    </row>
    <row r="763">
      <c r="A763" s="10">
        <v>761.0</v>
      </c>
      <c r="B763" s="6" t="s">
        <v>996</v>
      </c>
      <c r="C763" s="7"/>
      <c r="D763" s="7"/>
    </row>
    <row r="764">
      <c r="A764" s="10">
        <v>762.0</v>
      </c>
      <c r="B764" s="6" t="s">
        <v>997</v>
      </c>
      <c r="C764" s="7"/>
      <c r="D764" s="7"/>
    </row>
    <row r="765">
      <c r="A765" s="10">
        <v>763.0</v>
      </c>
      <c r="B765" s="6" t="s">
        <v>998</v>
      </c>
      <c r="C765" s="7"/>
      <c r="D765" s="7"/>
    </row>
    <row r="766">
      <c r="A766" s="10">
        <v>764.0</v>
      </c>
      <c r="C766" s="7"/>
      <c r="D766" s="7"/>
    </row>
    <row r="767">
      <c r="A767" s="10">
        <v>765.0</v>
      </c>
      <c r="C767" s="7"/>
      <c r="D767" s="7"/>
    </row>
    <row r="768">
      <c r="A768" s="10">
        <v>766.0</v>
      </c>
      <c r="C768" s="7"/>
      <c r="D768" s="7"/>
    </row>
    <row r="769">
      <c r="A769" s="10">
        <v>767.0</v>
      </c>
      <c r="C769" s="7"/>
      <c r="D769" s="7"/>
    </row>
    <row r="770">
      <c r="A770" s="10">
        <v>768.0</v>
      </c>
      <c r="B770" s="6" t="s">
        <v>1119</v>
      </c>
      <c r="C770" s="7"/>
      <c r="D770" s="7"/>
    </row>
    <row r="771">
      <c r="A771" s="10">
        <v>769.0</v>
      </c>
      <c r="B771" s="6" t="s">
        <v>1000</v>
      </c>
      <c r="C771" s="7"/>
      <c r="D771" s="7"/>
    </row>
    <row r="772">
      <c r="A772" s="10">
        <v>770.0</v>
      </c>
      <c r="B772" s="6" t="s">
        <v>1001</v>
      </c>
      <c r="C772" s="7"/>
      <c r="D772" s="7"/>
    </row>
    <row r="773">
      <c r="A773" s="10">
        <v>771.0</v>
      </c>
      <c r="B773" s="6" t="s">
        <v>1002</v>
      </c>
      <c r="C773" s="7"/>
      <c r="D773" s="7"/>
    </row>
    <row r="774">
      <c r="A774" s="10">
        <v>772.0</v>
      </c>
      <c r="B774" s="6" t="s">
        <v>1003</v>
      </c>
      <c r="C774" s="7"/>
      <c r="D774" s="7"/>
    </row>
    <row r="775">
      <c r="A775" s="10">
        <v>773.0</v>
      </c>
      <c r="B775" s="6" t="s">
        <v>1004</v>
      </c>
      <c r="C775" s="7"/>
      <c r="D775" s="7"/>
    </row>
    <row r="776">
      <c r="A776" s="10">
        <v>774.0</v>
      </c>
      <c r="B776" s="6" t="s">
        <v>1005</v>
      </c>
      <c r="C776" s="7"/>
      <c r="D776" s="7"/>
    </row>
    <row r="777">
      <c r="A777" s="10">
        <v>775.0</v>
      </c>
      <c r="B777" s="6" t="s">
        <v>1006</v>
      </c>
      <c r="C777" s="7"/>
      <c r="D777" s="7"/>
    </row>
    <row r="778">
      <c r="A778" s="10">
        <v>776.0</v>
      </c>
      <c r="B778" s="6" t="s">
        <v>1007</v>
      </c>
      <c r="C778" s="7"/>
      <c r="D778" s="7"/>
    </row>
    <row r="779">
      <c r="A779" s="10">
        <v>777.0</v>
      </c>
      <c r="B779" s="6" t="s">
        <v>1008</v>
      </c>
      <c r="C779" s="7"/>
      <c r="D779" s="7"/>
    </row>
    <row r="780">
      <c r="A780" s="10">
        <v>778.0</v>
      </c>
      <c r="B780" s="6" t="s">
        <v>1009</v>
      </c>
      <c r="C780" s="7"/>
      <c r="D780" s="7"/>
    </row>
    <row r="781">
      <c r="A781" s="10">
        <v>779.0</v>
      </c>
      <c r="B781" s="6" t="s">
        <v>1010</v>
      </c>
      <c r="C781" s="7"/>
      <c r="D781" s="7"/>
    </row>
    <row r="782">
      <c r="A782" s="10">
        <v>780.0</v>
      </c>
      <c r="B782" s="6" t="s">
        <v>1011</v>
      </c>
      <c r="C782" s="7"/>
      <c r="D782" s="7"/>
    </row>
    <row r="783">
      <c r="A783" s="10">
        <v>781.0</v>
      </c>
      <c r="B783" s="6" t="s">
        <v>1012</v>
      </c>
      <c r="C783" s="7"/>
      <c r="D783" s="7"/>
    </row>
    <row r="784">
      <c r="A784" s="10">
        <v>782.0</v>
      </c>
      <c r="B784" s="6" t="s">
        <v>1013</v>
      </c>
      <c r="C784" s="7"/>
      <c r="D784" s="7"/>
    </row>
    <row r="785">
      <c r="A785" s="10">
        <v>783.0</v>
      </c>
      <c r="B785" s="6" t="s">
        <v>1014</v>
      </c>
      <c r="C785" s="7"/>
      <c r="D785" s="7"/>
    </row>
    <row r="786">
      <c r="A786" s="10">
        <v>784.0</v>
      </c>
      <c r="B786" s="6" t="s">
        <v>1015</v>
      </c>
    </row>
    <row r="787">
      <c r="A787" s="10">
        <v>785.0</v>
      </c>
      <c r="B787" s="6" t="s">
        <v>1016</v>
      </c>
    </row>
    <row r="788">
      <c r="A788" s="10">
        <v>786.0</v>
      </c>
      <c r="B788" s="6" t="s">
        <v>1017</v>
      </c>
    </row>
    <row r="789">
      <c r="A789" s="10">
        <v>787.0</v>
      </c>
      <c r="B789" s="6" t="s">
        <v>1018</v>
      </c>
    </row>
    <row r="790">
      <c r="A790" s="10">
        <v>788.0</v>
      </c>
      <c r="B790" s="6" t="s">
        <v>1019</v>
      </c>
    </row>
    <row r="791">
      <c r="A791" s="10">
        <v>789.0</v>
      </c>
      <c r="B791" s="6" t="s">
        <v>1020</v>
      </c>
    </row>
    <row r="792">
      <c r="A792" s="10">
        <v>790.0</v>
      </c>
      <c r="B792" s="6" t="s">
        <v>1021</v>
      </c>
    </row>
    <row r="793">
      <c r="A793" s="10">
        <v>791.0</v>
      </c>
      <c r="B793" s="6" t="s">
        <v>1022</v>
      </c>
    </row>
    <row r="794">
      <c r="A794" s="10">
        <v>792.0</v>
      </c>
      <c r="B794" s="6" t="s">
        <v>1023</v>
      </c>
    </row>
    <row r="795">
      <c r="A795" s="10">
        <v>793.0</v>
      </c>
      <c r="B795" s="6" t="s">
        <v>1024</v>
      </c>
    </row>
    <row r="796">
      <c r="A796" s="10">
        <v>794.0</v>
      </c>
      <c r="B796" s="6" t="s">
        <v>1025</v>
      </c>
    </row>
    <row r="797">
      <c r="A797" s="10">
        <v>795.0</v>
      </c>
      <c r="B797" s="6" t="s">
        <v>1026</v>
      </c>
    </row>
    <row r="798">
      <c r="A798" s="10">
        <v>796.0</v>
      </c>
    </row>
    <row r="799">
      <c r="A799" s="10">
        <v>797.0</v>
      </c>
    </row>
    <row r="800">
      <c r="A800" s="10">
        <v>798.0</v>
      </c>
    </row>
    <row r="801">
      <c r="A801" s="10">
        <v>799.0</v>
      </c>
    </row>
    <row r="802">
      <c r="A802" s="10">
        <v>800.0</v>
      </c>
      <c r="B802" s="6" t="s">
        <v>1120</v>
      </c>
    </row>
    <row r="803">
      <c r="A803" s="10">
        <v>801.0</v>
      </c>
      <c r="B803" s="6" t="s">
        <v>1027</v>
      </c>
    </row>
    <row r="804">
      <c r="A804" s="10">
        <v>802.0</v>
      </c>
      <c r="B804" s="6" t="s">
        <v>1028</v>
      </c>
    </row>
    <row r="805">
      <c r="A805" s="10">
        <v>803.0</v>
      </c>
      <c r="B805" s="6" t="s">
        <v>1029</v>
      </c>
    </row>
    <row r="806">
      <c r="A806" s="10">
        <v>804.0</v>
      </c>
      <c r="B806" s="6" t="s">
        <v>1030</v>
      </c>
    </row>
    <row r="807">
      <c r="A807" s="10">
        <v>805.0</v>
      </c>
      <c r="B807" s="6" t="s">
        <v>1031</v>
      </c>
    </row>
    <row r="808">
      <c r="A808" s="10">
        <v>806.0</v>
      </c>
      <c r="B808" s="6" t="s">
        <v>1032</v>
      </c>
    </row>
    <row r="809">
      <c r="A809" s="10">
        <v>807.0</v>
      </c>
      <c r="B809" s="6" t="s">
        <v>1033</v>
      </c>
    </row>
    <row r="810">
      <c r="A810" s="10">
        <v>808.0</v>
      </c>
      <c r="B810" s="6" t="s">
        <v>1034</v>
      </c>
    </row>
    <row r="811">
      <c r="A811" s="10">
        <v>809.0</v>
      </c>
      <c r="B811" s="6" t="s">
        <v>1035</v>
      </c>
    </row>
    <row r="812">
      <c r="A812" s="10">
        <v>810.0</v>
      </c>
      <c r="B812" s="6" t="s">
        <v>1036</v>
      </c>
    </row>
    <row r="813">
      <c r="A813" s="10">
        <v>811.0</v>
      </c>
      <c r="B813" s="6" t="s">
        <v>1037</v>
      </c>
    </row>
    <row r="814">
      <c r="A814" s="10">
        <v>812.0</v>
      </c>
      <c r="B814" s="6" t="s">
        <v>1038</v>
      </c>
    </row>
    <row r="815">
      <c r="A815" s="10">
        <v>813.0</v>
      </c>
      <c r="B815" s="6" t="s">
        <v>1039</v>
      </c>
    </row>
    <row r="816">
      <c r="A816" s="10">
        <v>814.0</v>
      </c>
      <c r="B816" s="6" t="s">
        <v>1040</v>
      </c>
    </row>
    <row r="817">
      <c r="A817" s="10">
        <v>815.0</v>
      </c>
      <c r="B817" s="6" t="s">
        <v>1041</v>
      </c>
    </row>
    <row r="818">
      <c r="A818" s="10">
        <v>816.0</v>
      </c>
      <c r="B818" s="6" t="s">
        <v>1042</v>
      </c>
    </row>
    <row r="819">
      <c r="A819" s="10">
        <v>817.0</v>
      </c>
      <c r="B819" s="6" t="s">
        <v>1043</v>
      </c>
    </row>
    <row r="820">
      <c r="A820" s="10">
        <v>818.0</v>
      </c>
      <c r="B820" s="6" t="s">
        <v>1044</v>
      </c>
    </row>
    <row r="821">
      <c r="A821" s="10">
        <v>819.0</v>
      </c>
      <c r="B821" s="6" t="s">
        <v>1045</v>
      </c>
    </row>
    <row r="822">
      <c r="A822" s="10">
        <v>820.0</v>
      </c>
      <c r="B822" s="6" t="s">
        <v>1046</v>
      </c>
    </row>
    <row r="823">
      <c r="A823" s="10">
        <v>821.0</v>
      </c>
      <c r="B823" s="6" t="s">
        <v>1047</v>
      </c>
    </row>
    <row r="824">
      <c r="A824" s="10">
        <v>822.0</v>
      </c>
      <c r="B824" s="6" t="s">
        <v>1048</v>
      </c>
    </row>
    <row r="825">
      <c r="A825" s="10">
        <v>823.0</v>
      </c>
      <c r="B825" s="6" t="s">
        <v>1049</v>
      </c>
    </row>
    <row r="826">
      <c r="A826" s="10">
        <v>824.0</v>
      </c>
      <c r="B826" s="6" t="s">
        <v>1050</v>
      </c>
    </row>
    <row r="827">
      <c r="A827" s="10">
        <v>825.0</v>
      </c>
      <c r="B827" s="6" t="s">
        <v>1051</v>
      </c>
    </row>
    <row r="828">
      <c r="A828" s="10">
        <v>826.0</v>
      </c>
      <c r="B828" s="6" t="s">
        <v>1052</v>
      </c>
    </row>
    <row r="829">
      <c r="A829" s="10">
        <v>827.0</v>
      </c>
      <c r="B829" s="6" t="s">
        <v>1053</v>
      </c>
    </row>
    <row r="830">
      <c r="A830" s="10">
        <v>828.0</v>
      </c>
    </row>
    <row r="831">
      <c r="A831" s="10">
        <v>829.0</v>
      </c>
    </row>
    <row r="832">
      <c r="A832" s="10">
        <v>830.0</v>
      </c>
    </row>
    <row r="833">
      <c r="A833" s="10">
        <v>831.0</v>
      </c>
    </row>
    <row r="834">
      <c r="A834" s="10">
        <v>832.0</v>
      </c>
      <c r="B834" s="6" t="s">
        <v>1121</v>
      </c>
    </row>
    <row r="835">
      <c r="A835" s="10">
        <v>833.0</v>
      </c>
      <c r="B835" s="6" t="s">
        <v>1055</v>
      </c>
    </row>
    <row r="836">
      <c r="A836" s="10">
        <v>834.0</v>
      </c>
      <c r="B836" s="6" t="s">
        <v>1056</v>
      </c>
    </row>
    <row r="837">
      <c r="A837" s="10">
        <v>835.0</v>
      </c>
      <c r="B837" s="6" t="s">
        <v>1057</v>
      </c>
    </row>
    <row r="838">
      <c r="A838" s="10">
        <v>836.0</v>
      </c>
      <c r="B838" s="6" t="s">
        <v>1058</v>
      </c>
    </row>
    <row r="839">
      <c r="A839" s="10">
        <v>837.0</v>
      </c>
      <c r="B839" s="6" t="s">
        <v>1059</v>
      </c>
    </row>
    <row r="840">
      <c r="A840" s="10">
        <v>838.0</v>
      </c>
      <c r="B840" s="6" t="s">
        <v>1060</v>
      </c>
    </row>
    <row r="841">
      <c r="A841" s="10">
        <v>839.0</v>
      </c>
      <c r="B841" s="6" t="s">
        <v>1061</v>
      </c>
    </row>
    <row r="842">
      <c r="A842" s="10">
        <v>840.0</v>
      </c>
      <c r="B842" s="6" t="s">
        <v>1062</v>
      </c>
    </row>
    <row r="843">
      <c r="A843" s="10">
        <v>841.0</v>
      </c>
      <c r="B843" s="6" t="s">
        <v>1063</v>
      </c>
    </row>
    <row r="844">
      <c r="A844" s="10">
        <v>842.0</v>
      </c>
      <c r="B844" s="6" t="s">
        <v>1064</v>
      </c>
    </row>
    <row r="845">
      <c r="A845" s="10">
        <v>843.0</v>
      </c>
      <c r="B845" s="6" t="s">
        <v>1065</v>
      </c>
    </row>
    <row r="846">
      <c r="A846" s="10">
        <v>844.0</v>
      </c>
      <c r="B846" s="6" t="s">
        <v>1066</v>
      </c>
    </row>
    <row r="847">
      <c r="A847" s="10">
        <v>845.0</v>
      </c>
      <c r="B847" s="6" t="s">
        <v>1067</v>
      </c>
    </row>
    <row r="848">
      <c r="A848" s="10">
        <v>846.0</v>
      </c>
      <c r="B848" s="6" t="s">
        <v>1068</v>
      </c>
    </row>
    <row r="849">
      <c r="A849" s="10">
        <v>847.0</v>
      </c>
      <c r="B849" s="6" t="s">
        <v>1069</v>
      </c>
    </row>
    <row r="850">
      <c r="A850" s="10">
        <v>848.0</v>
      </c>
      <c r="B850" s="6" t="s">
        <v>1070</v>
      </c>
    </row>
    <row r="851">
      <c r="A851" s="10">
        <v>849.0</v>
      </c>
      <c r="B851" s="6" t="s">
        <v>1071</v>
      </c>
    </row>
    <row r="852">
      <c r="A852" s="10">
        <v>850.0</v>
      </c>
      <c r="B852" s="6" t="s">
        <v>1072</v>
      </c>
    </row>
    <row r="853">
      <c r="A853" s="10">
        <v>851.0</v>
      </c>
      <c r="B853" s="6" t="s">
        <v>1073</v>
      </c>
    </row>
    <row r="854">
      <c r="A854" s="10">
        <v>852.0</v>
      </c>
      <c r="B854" s="6" t="s">
        <v>1074</v>
      </c>
    </row>
    <row r="855">
      <c r="A855" s="10">
        <v>853.0</v>
      </c>
      <c r="B855" s="6" t="s">
        <v>1075</v>
      </c>
    </row>
    <row r="856">
      <c r="A856" s="10">
        <v>854.0</v>
      </c>
      <c r="B856" s="6" t="s">
        <v>1076</v>
      </c>
    </row>
    <row r="857">
      <c r="A857" s="10">
        <v>855.0</v>
      </c>
      <c r="B857" s="6" t="s">
        <v>1077</v>
      </c>
    </row>
    <row r="858">
      <c r="A858" s="10">
        <v>856.0</v>
      </c>
      <c r="B858" s="6" t="s">
        <v>1078</v>
      </c>
    </row>
    <row r="859">
      <c r="A859" s="10">
        <v>857.0</v>
      </c>
      <c r="B859" s="6" t="s">
        <v>1079</v>
      </c>
    </row>
    <row r="860">
      <c r="A860" s="10">
        <v>858.0</v>
      </c>
      <c r="B860" s="6" t="s">
        <v>1080</v>
      </c>
    </row>
    <row r="861">
      <c r="A861" s="10">
        <v>859.0</v>
      </c>
      <c r="B861" s="6" t="s">
        <v>1081</v>
      </c>
    </row>
    <row r="862">
      <c r="A862" s="10">
        <v>860.0</v>
      </c>
    </row>
    <row r="863">
      <c r="A863" s="10">
        <v>861.0</v>
      </c>
    </row>
    <row r="864">
      <c r="A864" s="10">
        <v>862.0</v>
      </c>
    </row>
    <row r="865">
      <c r="A865" s="10">
        <v>863.0</v>
      </c>
    </row>
    <row r="866">
      <c r="A866" s="10">
        <v>864.0</v>
      </c>
      <c r="B866" s="6" t="s">
        <v>1122</v>
      </c>
    </row>
    <row r="867">
      <c r="A867" s="10">
        <v>865.0</v>
      </c>
      <c r="B867" s="6" t="s">
        <v>1082</v>
      </c>
    </row>
    <row r="868">
      <c r="A868" s="10">
        <v>866.0</v>
      </c>
      <c r="B868" s="6" t="s">
        <v>1083</v>
      </c>
    </row>
    <row r="869">
      <c r="A869" s="10">
        <v>867.0</v>
      </c>
      <c r="B869" s="6" t="s">
        <v>1084</v>
      </c>
    </row>
    <row r="870">
      <c r="A870" s="10">
        <v>868.0</v>
      </c>
      <c r="B870" s="6" t="s">
        <v>1085</v>
      </c>
    </row>
    <row r="871">
      <c r="A871" s="10">
        <v>869.0</v>
      </c>
      <c r="B871" s="6" t="s">
        <v>1086</v>
      </c>
    </row>
    <row r="872">
      <c r="A872" s="10">
        <v>870.0</v>
      </c>
      <c r="B872" s="6" t="s">
        <v>1087</v>
      </c>
    </row>
    <row r="873">
      <c r="A873" s="10">
        <v>871.0</v>
      </c>
      <c r="B873" s="6" t="s">
        <v>1088</v>
      </c>
    </row>
    <row r="874">
      <c r="A874" s="10">
        <v>872.0</v>
      </c>
      <c r="B874" s="6" t="s">
        <v>1089</v>
      </c>
    </row>
    <row r="875">
      <c r="A875" s="10">
        <v>873.0</v>
      </c>
      <c r="B875" s="6" t="s">
        <v>1090</v>
      </c>
    </row>
    <row r="876">
      <c r="A876" s="10">
        <v>874.0</v>
      </c>
      <c r="B876" s="6" t="s">
        <v>1091</v>
      </c>
    </row>
    <row r="877">
      <c r="A877" s="10">
        <v>875.0</v>
      </c>
      <c r="B877" s="6" t="s">
        <v>1092</v>
      </c>
    </row>
    <row r="878">
      <c r="A878" s="10">
        <v>876.0</v>
      </c>
      <c r="B878" s="6" t="s">
        <v>1093</v>
      </c>
    </row>
    <row r="879">
      <c r="A879" s="10">
        <v>877.0</v>
      </c>
      <c r="B879" s="6" t="s">
        <v>1094</v>
      </c>
    </row>
    <row r="880">
      <c r="A880" s="10">
        <v>878.0</v>
      </c>
      <c r="B880" s="6" t="s">
        <v>1095</v>
      </c>
    </row>
    <row r="881">
      <c r="A881" s="10">
        <v>879.0</v>
      </c>
      <c r="B881" s="6" t="s">
        <v>1096</v>
      </c>
    </row>
    <row r="882">
      <c r="A882" s="10">
        <v>880.0</v>
      </c>
      <c r="B882" s="6" t="s">
        <v>1097</v>
      </c>
    </row>
    <row r="883">
      <c r="A883" s="10">
        <v>881.0</v>
      </c>
      <c r="B883" s="6" t="s">
        <v>1098</v>
      </c>
    </row>
    <row r="884">
      <c r="A884" s="10">
        <v>882.0</v>
      </c>
      <c r="B884" s="6" t="s">
        <v>1099</v>
      </c>
    </row>
    <row r="885">
      <c r="A885" s="10">
        <v>883.0</v>
      </c>
      <c r="B885" s="6" t="s">
        <v>1100</v>
      </c>
    </row>
    <row r="886">
      <c r="A886" s="10">
        <v>884.0</v>
      </c>
      <c r="B886" s="6" t="s">
        <v>1101</v>
      </c>
    </row>
    <row r="887">
      <c r="A887" s="10">
        <v>885.0</v>
      </c>
      <c r="B887" s="6" t="s">
        <v>1102</v>
      </c>
    </row>
    <row r="888">
      <c r="A888" s="10">
        <v>886.0</v>
      </c>
      <c r="B888" s="6" t="s">
        <v>1103</v>
      </c>
    </row>
    <row r="889">
      <c r="A889" s="10">
        <v>887.0</v>
      </c>
      <c r="B889" s="6" t="s">
        <v>1104</v>
      </c>
    </row>
    <row r="890">
      <c r="A890" s="10">
        <v>888.0</v>
      </c>
      <c r="B890" s="6" t="s">
        <v>1105</v>
      </c>
    </row>
    <row r="891">
      <c r="A891" s="10">
        <v>889.0</v>
      </c>
      <c r="B891" s="6" t="s">
        <v>1106</v>
      </c>
    </row>
    <row r="892">
      <c r="A892" s="10">
        <v>890.0</v>
      </c>
      <c r="B892" s="6" t="s">
        <v>1107</v>
      </c>
    </row>
    <row r="893">
      <c r="A893" s="10">
        <v>891.0</v>
      </c>
      <c r="B893" s="6" t="s">
        <v>1108</v>
      </c>
    </row>
    <row r="894">
      <c r="A894" s="10">
        <v>892.0</v>
      </c>
    </row>
    <row r="895">
      <c r="A895" s="10">
        <v>893.0</v>
      </c>
    </row>
    <row r="896">
      <c r="A896" s="10">
        <v>894.0</v>
      </c>
    </row>
    <row r="897">
      <c r="A897" s="10">
        <v>895.0</v>
      </c>
    </row>
    <row r="898">
      <c r="A898" s="10">
        <v>896.0</v>
      </c>
    </row>
    <row r="899">
      <c r="A899" s="10">
        <v>897.0</v>
      </c>
    </row>
    <row r="900">
      <c r="A900" s="10">
        <v>898.0</v>
      </c>
    </row>
    <row r="901">
      <c r="A901" s="10">
        <v>899.0</v>
      </c>
    </row>
    <row r="902">
      <c r="A902" s="10">
        <v>900.0</v>
      </c>
    </row>
    <row r="903">
      <c r="A903" s="10">
        <v>901.0</v>
      </c>
    </row>
    <row r="904">
      <c r="A904" s="10">
        <v>902.0</v>
      </c>
    </row>
    <row r="905">
      <c r="A905" s="10">
        <v>903.0</v>
      </c>
    </row>
    <row r="906">
      <c r="A906" s="10">
        <v>904.0</v>
      </c>
    </row>
    <row r="907">
      <c r="A907" s="10">
        <v>905.0</v>
      </c>
    </row>
    <row r="908">
      <c r="A908" s="10">
        <v>906.0</v>
      </c>
    </row>
    <row r="909">
      <c r="A909" s="10">
        <v>907.0</v>
      </c>
    </row>
    <row r="910">
      <c r="A910" s="10">
        <v>908.0</v>
      </c>
    </row>
    <row r="911">
      <c r="A911" s="10">
        <v>909.0</v>
      </c>
    </row>
    <row r="912">
      <c r="A912" s="10">
        <v>910.0</v>
      </c>
    </row>
    <row r="913">
      <c r="A913" s="10">
        <v>911.0</v>
      </c>
    </row>
    <row r="914">
      <c r="A914" s="10">
        <v>912.0</v>
      </c>
    </row>
    <row r="915">
      <c r="A915" s="10">
        <v>913.0</v>
      </c>
    </row>
    <row r="916">
      <c r="A916" s="10">
        <v>914.0</v>
      </c>
    </row>
    <row r="917">
      <c r="A917" s="10">
        <v>915.0</v>
      </c>
    </row>
    <row r="918">
      <c r="A918" s="10">
        <v>916.0</v>
      </c>
    </row>
    <row r="919">
      <c r="A919" s="10">
        <v>917.0</v>
      </c>
    </row>
    <row r="920">
      <c r="A920" s="10">
        <v>918.0</v>
      </c>
    </row>
    <row r="921">
      <c r="A921" s="10">
        <v>919.0</v>
      </c>
    </row>
    <row r="922">
      <c r="A922" s="10">
        <v>920.0</v>
      </c>
    </row>
    <row r="923">
      <c r="A923" s="10">
        <v>921.0</v>
      </c>
    </row>
    <row r="924">
      <c r="A924" s="10">
        <v>922.0</v>
      </c>
    </row>
    <row r="925">
      <c r="A925" s="10">
        <v>923.0</v>
      </c>
    </row>
    <row r="926">
      <c r="A926" s="10">
        <v>924.0</v>
      </c>
    </row>
    <row r="927">
      <c r="A927" s="10">
        <v>925.0</v>
      </c>
    </row>
    <row r="928">
      <c r="A928" s="10">
        <v>926.0</v>
      </c>
    </row>
    <row r="929">
      <c r="A929" s="10">
        <v>927.0</v>
      </c>
    </row>
    <row r="930">
      <c r="A930" s="10">
        <v>928.0</v>
      </c>
    </row>
    <row r="931">
      <c r="A931" s="10">
        <v>929.0</v>
      </c>
    </row>
    <row r="932">
      <c r="A932" s="10">
        <v>930.0</v>
      </c>
    </row>
    <row r="933">
      <c r="A933" s="10">
        <v>931.0</v>
      </c>
    </row>
    <row r="934">
      <c r="A934" s="10">
        <v>932.0</v>
      </c>
    </row>
    <row r="935">
      <c r="A935" s="10">
        <v>933.0</v>
      </c>
    </row>
    <row r="936">
      <c r="A936" s="10">
        <v>934.0</v>
      </c>
    </row>
    <row r="937">
      <c r="A937" s="10">
        <v>935.0</v>
      </c>
    </row>
    <row r="938">
      <c r="A938" s="10">
        <v>936.0</v>
      </c>
    </row>
    <row r="939">
      <c r="A939" s="10">
        <v>937.0</v>
      </c>
    </row>
    <row r="940">
      <c r="A940" s="10">
        <v>938.0</v>
      </c>
    </row>
    <row r="941">
      <c r="A941" s="10">
        <v>939.0</v>
      </c>
    </row>
    <row r="942">
      <c r="A942" s="10">
        <v>940.0</v>
      </c>
    </row>
    <row r="943">
      <c r="A943" s="10">
        <v>941.0</v>
      </c>
    </row>
    <row r="944">
      <c r="A944" s="10">
        <v>942.0</v>
      </c>
    </row>
    <row r="945">
      <c r="A945" s="10">
        <v>943.0</v>
      </c>
    </row>
    <row r="946">
      <c r="A946" s="10">
        <v>944.0</v>
      </c>
    </row>
    <row r="947">
      <c r="A947" s="10">
        <v>945.0</v>
      </c>
    </row>
    <row r="948">
      <c r="A948" s="10">
        <v>946.0</v>
      </c>
    </row>
    <row r="949">
      <c r="A949" s="10">
        <v>947.0</v>
      </c>
    </row>
    <row r="950">
      <c r="A950" s="10">
        <v>948.0</v>
      </c>
    </row>
    <row r="951">
      <c r="A951" s="10">
        <v>949.0</v>
      </c>
    </row>
    <row r="952">
      <c r="A952" s="10">
        <v>950.0</v>
      </c>
    </row>
    <row r="953">
      <c r="A953" s="10">
        <v>951.0</v>
      </c>
    </row>
    <row r="954">
      <c r="A954" s="10">
        <v>952.0</v>
      </c>
    </row>
    <row r="955">
      <c r="A955" s="10">
        <v>953.0</v>
      </c>
    </row>
    <row r="956">
      <c r="A956" s="10">
        <v>954.0</v>
      </c>
    </row>
    <row r="957">
      <c r="A957" s="10">
        <v>955.0</v>
      </c>
    </row>
    <row r="958">
      <c r="A958" s="10">
        <v>956.0</v>
      </c>
    </row>
    <row r="959">
      <c r="A959" s="10">
        <v>957.0</v>
      </c>
    </row>
    <row r="960">
      <c r="A960" s="10">
        <v>958.0</v>
      </c>
    </row>
    <row r="961">
      <c r="A961" s="10">
        <v>959.0</v>
      </c>
    </row>
    <row r="962">
      <c r="A962" s="10">
        <v>960.0</v>
      </c>
    </row>
    <row r="963">
      <c r="A963" s="10">
        <v>961.0</v>
      </c>
    </row>
    <row r="964">
      <c r="A964" s="10">
        <v>962.0</v>
      </c>
    </row>
    <row r="965">
      <c r="A965" s="10">
        <v>963.0</v>
      </c>
    </row>
    <row r="966">
      <c r="A966" s="10">
        <v>964.0</v>
      </c>
    </row>
    <row r="967">
      <c r="A967" s="10">
        <v>965.0</v>
      </c>
    </row>
    <row r="968">
      <c r="A968" s="10">
        <v>966.0</v>
      </c>
    </row>
    <row r="969">
      <c r="A969" s="10">
        <v>967.0</v>
      </c>
    </row>
    <row r="970">
      <c r="A970" s="10">
        <v>968.0</v>
      </c>
    </row>
    <row r="971">
      <c r="A971" s="10">
        <v>969.0</v>
      </c>
    </row>
    <row r="972">
      <c r="A972" s="10">
        <v>970.0</v>
      </c>
    </row>
    <row r="973">
      <c r="A973" s="10">
        <v>971.0</v>
      </c>
    </row>
    <row r="974">
      <c r="A974" s="10">
        <v>972.0</v>
      </c>
    </row>
    <row r="975">
      <c r="A975" s="10">
        <v>973.0</v>
      </c>
    </row>
    <row r="976">
      <c r="A976" s="10">
        <v>974.0</v>
      </c>
    </row>
    <row r="977">
      <c r="A977" s="10">
        <v>975.0</v>
      </c>
    </row>
    <row r="978">
      <c r="A978" s="10">
        <v>976.0</v>
      </c>
    </row>
    <row r="979">
      <c r="A979" s="10">
        <v>977.0</v>
      </c>
    </row>
    <row r="980">
      <c r="A980" s="10">
        <v>978.0</v>
      </c>
    </row>
    <row r="981">
      <c r="A981" s="10">
        <v>979.0</v>
      </c>
    </row>
    <row r="982">
      <c r="A982" s="10">
        <v>980.0</v>
      </c>
    </row>
    <row r="983">
      <c r="A983" s="10">
        <v>981.0</v>
      </c>
    </row>
    <row r="984">
      <c r="A984" s="10">
        <v>982.0</v>
      </c>
    </row>
    <row r="985">
      <c r="A985" s="10">
        <v>983.0</v>
      </c>
    </row>
    <row r="986">
      <c r="A986" s="10">
        <v>984.0</v>
      </c>
    </row>
    <row r="987">
      <c r="A987" s="10">
        <v>985.0</v>
      </c>
    </row>
    <row r="988">
      <c r="A988" s="10">
        <v>986.0</v>
      </c>
    </row>
    <row r="989">
      <c r="A989" s="10">
        <v>987.0</v>
      </c>
    </row>
    <row r="990">
      <c r="A990" s="10">
        <v>988.0</v>
      </c>
    </row>
    <row r="991">
      <c r="A991" s="10">
        <v>989.0</v>
      </c>
    </row>
    <row r="992">
      <c r="A992" s="10">
        <v>990.0</v>
      </c>
    </row>
    <row r="993">
      <c r="A993" s="10">
        <v>991.0</v>
      </c>
    </row>
    <row r="994">
      <c r="A994" s="10">
        <v>992.0</v>
      </c>
    </row>
    <row r="995">
      <c r="A995" s="10">
        <v>993.0</v>
      </c>
    </row>
    <row r="996">
      <c r="A996" s="10">
        <v>994.0</v>
      </c>
    </row>
    <row r="997">
      <c r="A997" s="10">
        <v>995.0</v>
      </c>
    </row>
    <row r="998">
      <c r="A998" s="10">
        <v>996.0</v>
      </c>
    </row>
    <row r="999">
      <c r="A999" s="10">
        <v>997.0</v>
      </c>
    </row>
    <row r="1000">
      <c r="A1000" s="10">
        <v>998.0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88"/>
    <col customWidth="1" min="3" max="4" width="14.75"/>
    <col customWidth="1" min="5" max="10" width="13.38"/>
    <col customWidth="1" min="12" max="12" width="25.13"/>
    <col customWidth="1" min="13" max="13" width="39.0"/>
    <col customWidth="1" min="14" max="14" width="25.13"/>
    <col customWidth="1" min="21" max="21" width="39.0"/>
    <col customWidth="1" min="22" max="22" width="28.38"/>
  </cols>
  <sheetData>
    <row r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4" t="s">
        <v>2</v>
      </c>
      <c r="M1" s="4" t="s">
        <v>1123</v>
      </c>
      <c r="N1" s="4" t="s">
        <v>1124</v>
      </c>
      <c r="O1" s="4" t="s">
        <v>1125</v>
      </c>
      <c r="P1" s="4" t="s">
        <v>1126</v>
      </c>
      <c r="Q1" s="4" t="s">
        <v>1127</v>
      </c>
      <c r="R1" s="4" t="s">
        <v>1128</v>
      </c>
      <c r="S1" s="12"/>
      <c r="T1" s="12"/>
      <c r="U1" s="12"/>
      <c r="V1" s="12"/>
      <c r="W1" s="12" t="s">
        <v>1129</v>
      </c>
      <c r="X1" s="12" t="s">
        <v>1130</v>
      </c>
      <c r="Y1" s="12" t="s">
        <v>1131</v>
      </c>
      <c r="Z1" s="12" t="s">
        <v>1132</v>
      </c>
      <c r="AA1" s="12" t="s">
        <v>1133</v>
      </c>
      <c r="AB1" s="12" t="s">
        <v>1134</v>
      </c>
      <c r="AC1" s="12" t="s">
        <v>1135</v>
      </c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</row>
    <row r="2">
      <c r="A2" s="8"/>
      <c r="B2" s="8" t="s">
        <v>1136</v>
      </c>
      <c r="C2" s="8"/>
      <c r="D2" s="8"/>
      <c r="E2" s="8"/>
      <c r="F2" s="8"/>
      <c r="G2" s="8"/>
      <c r="H2" s="8"/>
      <c r="I2" s="8"/>
      <c r="J2" s="8"/>
      <c r="K2" s="8"/>
      <c r="L2" s="8">
        <v>0.0</v>
      </c>
      <c r="M2" s="12">
        <v>0.0</v>
      </c>
      <c r="N2" s="12">
        <v>0.0</v>
      </c>
      <c r="O2" s="12">
        <v>0.0</v>
      </c>
      <c r="P2" s="12">
        <v>0.0</v>
      </c>
      <c r="Q2" s="12">
        <v>0.0</v>
      </c>
      <c r="R2" s="12">
        <v>0.0</v>
      </c>
      <c r="S2" s="12"/>
      <c r="T2" s="11" t="s">
        <v>1137</v>
      </c>
      <c r="U2" s="8"/>
      <c r="V2" s="8"/>
      <c r="W2" s="8">
        <f t="array" ref="W2:W865">SEQUENCE(864,1)</f>
        <v>1</v>
      </c>
      <c r="X2" s="9" t="str">
        <f t="array" ref="X2:AB7">"W[n]["&amp;SEQUENCE(6,1,AD2)&amp;"]["&amp;SEQUENCE(1,5,AE2)&amp;"]"</f>
        <v>W[n][0][0]</v>
      </c>
      <c r="Y2" s="9" t="s">
        <v>1138</v>
      </c>
      <c r="Z2" s="9" t="s">
        <v>1139</v>
      </c>
      <c r="AA2" s="9" t="s">
        <v>1140</v>
      </c>
      <c r="AB2" s="9" t="s">
        <v>1141</v>
      </c>
      <c r="AC2" s="12"/>
      <c r="AD2" s="8">
        <v>0.0</v>
      </c>
      <c r="AE2" s="8">
        <v>0.0</v>
      </c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</row>
    <row r="3">
      <c r="A3" s="8"/>
      <c r="B3" s="8" t="s">
        <v>1142</v>
      </c>
      <c r="C3" s="8"/>
      <c r="D3" s="8"/>
      <c r="E3" s="8"/>
      <c r="F3" s="8"/>
      <c r="G3" s="8"/>
      <c r="H3" s="8"/>
      <c r="I3" s="8"/>
      <c r="J3" s="8"/>
      <c r="K3" s="8"/>
      <c r="L3" s="8">
        <v>1.0</v>
      </c>
      <c r="M3" s="12" t="s">
        <v>1143</v>
      </c>
      <c r="N3" s="13" t="s">
        <v>1144</v>
      </c>
      <c r="O3" s="13" t="s">
        <v>1145</v>
      </c>
      <c r="P3" s="13" t="s">
        <v>1146</v>
      </c>
      <c r="Q3" s="13" t="s">
        <v>1147</v>
      </c>
      <c r="R3" s="13" t="s">
        <v>1148</v>
      </c>
      <c r="S3" s="12"/>
      <c r="T3" s="8" t="s">
        <v>1149</v>
      </c>
      <c r="U3" s="8" t="s">
        <v>18</v>
      </c>
      <c r="V3" s="8" t="s">
        <v>19</v>
      </c>
      <c r="W3" s="9">
        <v>2.0</v>
      </c>
      <c r="X3" s="9" t="s">
        <v>1150</v>
      </c>
      <c r="Y3" s="9" t="s">
        <v>1151</v>
      </c>
      <c r="Z3" s="9" t="s">
        <v>1152</v>
      </c>
      <c r="AA3" s="9" t="s">
        <v>1153</v>
      </c>
      <c r="AB3" s="9" t="s">
        <v>1154</v>
      </c>
      <c r="AC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>
        <v>2.0</v>
      </c>
      <c r="M4" s="13" t="s">
        <v>1155</v>
      </c>
      <c r="N4" s="13" t="s">
        <v>1156</v>
      </c>
      <c r="O4" s="13" t="s">
        <v>1157</v>
      </c>
      <c r="P4" s="13" t="s">
        <v>1158</v>
      </c>
      <c r="Q4" s="13" t="s">
        <v>1159</v>
      </c>
      <c r="R4" s="13" t="s">
        <v>1160</v>
      </c>
      <c r="S4" s="12"/>
      <c r="T4" s="8" t="s">
        <v>1161</v>
      </c>
      <c r="U4" s="9" t="str">
        <f t="array" ref="U4:U19"> "FV2[n]["&amp; QUOTIENT(SEQUENCE(16, 1, 0), 4) &amp; "][" &amp; MOD(SEQUENCE(16, 1, 0), 4) &amp; "]"</f>
        <v>FV2[n][0][0]</v>
      </c>
      <c r="V4" s="8" t="s">
        <v>1162</v>
      </c>
      <c r="W4" s="9">
        <v>3.0</v>
      </c>
      <c r="X4" s="9" t="s">
        <v>1163</v>
      </c>
      <c r="Y4" s="9" t="s">
        <v>1164</v>
      </c>
      <c r="Z4" s="9" t="s">
        <v>1165</v>
      </c>
      <c r="AA4" s="9" t="s">
        <v>1166</v>
      </c>
      <c r="AB4" s="9" t="s">
        <v>1167</v>
      </c>
      <c r="AC4" s="12"/>
      <c r="AE4" s="13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>
        <v>3.0</v>
      </c>
      <c r="M5" s="13" t="s">
        <v>1168</v>
      </c>
      <c r="N5" s="13" t="s">
        <v>1169</v>
      </c>
      <c r="O5" s="13" t="s">
        <v>1170</v>
      </c>
      <c r="P5" s="13" t="s">
        <v>1171</v>
      </c>
      <c r="Q5" s="13" t="s">
        <v>1172</v>
      </c>
      <c r="R5" s="13" t="s">
        <v>1173</v>
      </c>
      <c r="S5" s="12"/>
      <c r="T5" s="8" t="s">
        <v>1174</v>
      </c>
      <c r="U5" s="9" t="s">
        <v>1175</v>
      </c>
      <c r="V5" s="8" t="s">
        <v>1176</v>
      </c>
      <c r="W5" s="9">
        <v>4.0</v>
      </c>
      <c r="X5" s="9" t="s">
        <v>1177</v>
      </c>
      <c r="Y5" s="9" t="s">
        <v>1178</v>
      </c>
      <c r="Z5" s="9" t="s">
        <v>1179</v>
      </c>
      <c r="AA5" s="9" t="s">
        <v>1180</v>
      </c>
      <c r="AB5" s="9" t="s">
        <v>1181</v>
      </c>
      <c r="AC5" s="12"/>
      <c r="AE5" s="13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>
        <v>4.0</v>
      </c>
      <c r="M6" s="13" t="s">
        <v>1182</v>
      </c>
      <c r="N6" s="13" t="s">
        <v>1183</v>
      </c>
      <c r="O6" s="13" t="s">
        <v>1184</v>
      </c>
      <c r="P6" s="13" t="s">
        <v>1185</v>
      </c>
      <c r="Q6" s="13" t="s">
        <v>1186</v>
      </c>
      <c r="R6" s="13" t="s">
        <v>1187</v>
      </c>
      <c r="S6" s="12"/>
      <c r="T6" s="8" t="s">
        <v>1188</v>
      </c>
      <c r="U6" s="9" t="s">
        <v>1189</v>
      </c>
      <c r="V6" s="8" t="s">
        <v>1190</v>
      </c>
      <c r="W6" s="9">
        <v>5.0</v>
      </c>
      <c r="X6" s="9" t="s">
        <v>1191</v>
      </c>
      <c r="Y6" s="9" t="s">
        <v>1192</v>
      </c>
      <c r="Z6" s="9" t="s">
        <v>1193</v>
      </c>
      <c r="AA6" s="9" t="s">
        <v>1194</v>
      </c>
      <c r="AB6" s="9" t="s">
        <v>1195</v>
      </c>
      <c r="AC6" s="12"/>
      <c r="AE6" s="13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</row>
    <row r="7">
      <c r="A7" s="8"/>
      <c r="B7" s="14" t="s">
        <v>1196</v>
      </c>
      <c r="C7" s="14" t="s">
        <v>2</v>
      </c>
      <c r="D7" s="14" t="s">
        <v>19</v>
      </c>
      <c r="E7" s="14" t="s">
        <v>1197</v>
      </c>
      <c r="F7" s="14" t="s">
        <v>1198</v>
      </c>
      <c r="G7" s="14" t="s">
        <v>1199</v>
      </c>
      <c r="H7" s="14" t="s">
        <v>1200</v>
      </c>
      <c r="I7" s="14" t="s">
        <v>1201</v>
      </c>
      <c r="J7" s="14" t="s">
        <v>1202</v>
      </c>
      <c r="K7" s="8"/>
      <c r="L7" s="8">
        <v>5.0</v>
      </c>
      <c r="M7" s="13" t="s">
        <v>1203</v>
      </c>
      <c r="N7" s="13" t="s">
        <v>1204</v>
      </c>
      <c r="O7" s="13" t="s">
        <v>1205</v>
      </c>
      <c r="P7" s="13" t="s">
        <v>1206</v>
      </c>
      <c r="Q7" s="13" t="s">
        <v>1207</v>
      </c>
      <c r="R7" s="13" t="s">
        <v>1208</v>
      </c>
      <c r="S7" s="12"/>
      <c r="U7" s="9" t="s">
        <v>1209</v>
      </c>
      <c r="V7" s="8" t="s">
        <v>1210</v>
      </c>
      <c r="W7" s="9">
        <v>6.0</v>
      </c>
      <c r="X7" s="9" t="s">
        <v>1211</v>
      </c>
      <c r="Y7" s="9" t="s">
        <v>1212</v>
      </c>
      <c r="Z7" s="9" t="s">
        <v>1213</v>
      </c>
      <c r="AA7" s="9" t="s">
        <v>1214</v>
      </c>
      <c r="AB7" s="9" t="s">
        <v>1215</v>
      </c>
      <c r="AC7" s="12"/>
      <c r="AE7" s="13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</row>
    <row r="8">
      <c r="A8" s="8"/>
      <c r="B8" s="11" t="str">
        <f t="array" ref="B8:B151">"FV1[n][" &amp; QUOTIENT(SEQUENCE(144, 1, 0), 12) &amp; "][" &amp; MOD(SEQUENCE(144, 1, 0), 12) &amp; "]"</f>
        <v>FV1[n][0][0]</v>
      </c>
      <c r="C8" s="8">
        <f t="array" ref="C8:C19">SEQUENCE(12,1,1)</f>
        <v>1</v>
      </c>
      <c r="D8" s="9" t="str">
        <f t="array" ref="D8:D151">"input[" &amp; (2 * QUOTIENT(SEQUENCE(144, 1, 0), 12)) &amp; ":" &amp; (2 * QUOTIENT(SEQUENCE(144, 1, 0), 12) + 5) &amp; "]" &amp; "[" &amp; (2 * MOD(SEQUENCE(144, 1, 0), 12)) &amp; ":" &amp; (2 * MOD(SEQUENCE(144, 1, 0), 12) + 5) &amp; "]"</f>
        <v>input[0:5][0:5]</v>
      </c>
      <c r="E8" s="8">
        <v>1.0</v>
      </c>
      <c r="F8" s="9">
        <f t="shared" ref="F8:F151" si="1">E8+16</f>
        <v>17</v>
      </c>
      <c r="G8" s="9">
        <f t="shared" ref="G8:G151" si="2">E8+32</f>
        <v>33</v>
      </c>
      <c r="H8" s="9">
        <f t="shared" ref="H8:H151" si="3">E8+48</f>
        <v>49</v>
      </c>
      <c r="I8" s="9">
        <f t="shared" ref="I8:I151" si="4">E8+64</f>
        <v>65</v>
      </c>
      <c r="J8" s="9">
        <f t="shared" ref="J8:J151" si="5">E8+80</f>
        <v>81</v>
      </c>
      <c r="K8" s="8"/>
      <c r="L8" s="8">
        <v>6.0</v>
      </c>
      <c r="M8" s="13" t="s">
        <v>1216</v>
      </c>
      <c r="N8" s="13" t="s">
        <v>1217</v>
      </c>
      <c r="O8" s="13" t="s">
        <v>1218</v>
      </c>
      <c r="P8" s="13" t="s">
        <v>1219</v>
      </c>
      <c r="Q8" s="13" t="s">
        <v>1220</v>
      </c>
      <c r="R8" s="13" t="s">
        <v>1221</v>
      </c>
      <c r="S8" s="12"/>
      <c r="U8" s="9" t="s">
        <v>1222</v>
      </c>
      <c r="V8" s="8" t="str">
        <f t="array" ref="V8:V11">"FV1[n][2:7]["&amp; SEQUENCE(4,1,0,2) &amp;":"&amp; SEQUENCE(4,1,5,2) &amp;"]"</f>
        <v>FV1[n][2:7][0:5]</v>
      </c>
      <c r="W8" s="9">
        <v>7.0</v>
      </c>
      <c r="X8" s="9" t="str">
        <f t="array" ref="X8:AB13">"W[n]["&amp;SEQUENCE(6,1,AD2)&amp;"]["&amp;SEQUENCE(1,5,AE2+2)&amp;"]"</f>
        <v>W[n][0][2]</v>
      </c>
      <c r="Y8" s="9" t="s">
        <v>1140</v>
      </c>
      <c r="Z8" s="9" t="s">
        <v>1141</v>
      </c>
      <c r="AA8" s="9" t="s">
        <v>1223</v>
      </c>
      <c r="AB8" s="9" t="s">
        <v>1224</v>
      </c>
      <c r="AC8" s="12"/>
      <c r="AE8" s="13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</row>
    <row r="9">
      <c r="A9" s="8"/>
      <c r="B9" s="9" t="s">
        <v>28</v>
      </c>
      <c r="C9" s="9">
        <v>2.0</v>
      </c>
      <c r="D9" s="9" t="s">
        <v>29</v>
      </c>
      <c r="E9" s="8">
        <v>2.0</v>
      </c>
      <c r="F9" s="9">
        <f t="shared" si="1"/>
        <v>18</v>
      </c>
      <c r="G9" s="9">
        <f t="shared" si="2"/>
        <v>34</v>
      </c>
      <c r="H9" s="9">
        <f t="shared" si="3"/>
        <v>50</v>
      </c>
      <c r="I9" s="9">
        <f t="shared" si="4"/>
        <v>66</v>
      </c>
      <c r="J9" s="9">
        <f t="shared" si="5"/>
        <v>82</v>
      </c>
      <c r="K9" s="8"/>
      <c r="L9" s="8">
        <v>7.0</v>
      </c>
      <c r="M9" s="13" t="s">
        <v>1225</v>
      </c>
      <c r="N9" s="13" t="s">
        <v>1226</v>
      </c>
      <c r="O9" s="13" t="s">
        <v>1227</v>
      </c>
      <c r="P9" s="13" t="s">
        <v>1228</v>
      </c>
      <c r="Q9" s="13" t="s">
        <v>1229</v>
      </c>
      <c r="R9" s="13" t="s">
        <v>1230</v>
      </c>
      <c r="S9" s="12"/>
      <c r="U9" s="9" t="s">
        <v>1231</v>
      </c>
      <c r="V9" s="9" t="s">
        <v>1232</v>
      </c>
      <c r="W9" s="9">
        <v>8.0</v>
      </c>
      <c r="X9" s="9" t="s">
        <v>1152</v>
      </c>
      <c r="Y9" s="9" t="s">
        <v>1153</v>
      </c>
      <c r="Z9" s="9" t="s">
        <v>1154</v>
      </c>
      <c r="AA9" s="9" t="s">
        <v>1233</v>
      </c>
      <c r="AB9" s="9" t="s">
        <v>1234</v>
      </c>
      <c r="AC9" s="12"/>
      <c r="AE9" s="13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</row>
    <row r="10">
      <c r="A10" s="8"/>
      <c r="B10" s="9" t="s">
        <v>33</v>
      </c>
      <c r="C10" s="9">
        <v>3.0</v>
      </c>
      <c r="D10" s="9" t="s">
        <v>34</v>
      </c>
      <c r="E10" s="8">
        <v>3.0</v>
      </c>
      <c r="F10" s="9">
        <f t="shared" si="1"/>
        <v>19</v>
      </c>
      <c r="G10" s="9">
        <f t="shared" si="2"/>
        <v>35</v>
      </c>
      <c r="H10" s="9">
        <f t="shared" si="3"/>
        <v>51</v>
      </c>
      <c r="I10" s="9">
        <f t="shared" si="4"/>
        <v>67</v>
      </c>
      <c r="J10" s="9">
        <f t="shared" si="5"/>
        <v>83</v>
      </c>
      <c r="K10" s="8"/>
      <c r="L10" s="8">
        <v>8.0</v>
      </c>
      <c r="M10" s="13" t="s">
        <v>1235</v>
      </c>
      <c r="N10" s="13" t="s">
        <v>1236</v>
      </c>
      <c r="O10" s="13" t="s">
        <v>1237</v>
      </c>
      <c r="P10" s="13" t="s">
        <v>1238</v>
      </c>
      <c r="Q10" s="13" t="s">
        <v>1239</v>
      </c>
      <c r="R10" s="13" t="s">
        <v>1240</v>
      </c>
      <c r="S10" s="12"/>
      <c r="U10" s="9" t="s">
        <v>1241</v>
      </c>
      <c r="V10" s="9" t="s">
        <v>1242</v>
      </c>
      <c r="W10" s="9">
        <v>9.0</v>
      </c>
      <c r="X10" s="9" t="s">
        <v>1165</v>
      </c>
      <c r="Y10" s="9" t="s">
        <v>1166</v>
      </c>
      <c r="Z10" s="9" t="s">
        <v>1167</v>
      </c>
      <c r="AA10" s="9" t="s">
        <v>1243</v>
      </c>
      <c r="AB10" s="9" t="s">
        <v>1244</v>
      </c>
      <c r="AC10" s="12"/>
      <c r="AE10" s="13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</row>
    <row r="11">
      <c r="A11" s="8"/>
      <c r="B11" s="9" t="s">
        <v>39</v>
      </c>
      <c r="C11" s="9">
        <v>4.0</v>
      </c>
      <c r="D11" s="9" t="s">
        <v>40</v>
      </c>
      <c r="E11" s="8">
        <v>4.0</v>
      </c>
      <c r="F11" s="9">
        <f t="shared" si="1"/>
        <v>20</v>
      </c>
      <c r="G11" s="9">
        <f t="shared" si="2"/>
        <v>36</v>
      </c>
      <c r="H11" s="9">
        <f t="shared" si="3"/>
        <v>52</v>
      </c>
      <c r="I11" s="9">
        <f t="shared" si="4"/>
        <v>68</v>
      </c>
      <c r="J11" s="9">
        <f t="shared" si="5"/>
        <v>84</v>
      </c>
      <c r="K11" s="8"/>
      <c r="L11" s="8">
        <v>9.0</v>
      </c>
      <c r="M11" s="13" t="s">
        <v>1245</v>
      </c>
      <c r="N11" s="13" t="s">
        <v>1246</v>
      </c>
      <c r="O11" s="13" t="s">
        <v>1247</v>
      </c>
      <c r="P11" s="13" t="s">
        <v>1248</v>
      </c>
      <c r="Q11" s="13" t="s">
        <v>1249</v>
      </c>
      <c r="R11" s="13" t="s">
        <v>1250</v>
      </c>
      <c r="S11" s="12"/>
      <c r="U11" s="9" t="s">
        <v>1251</v>
      </c>
      <c r="V11" s="9" t="s">
        <v>1252</v>
      </c>
      <c r="W11" s="9">
        <v>10.0</v>
      </c>
      <c r="X11" s="9" t="s">
        <v>1179</v>
      </c>
      <c r="Y11" s="9" t="s">
        <v>1180</v>
      </c>
      <c r="Z11" s="9" t="s">
        <v>1181</v>
      </c>
      <c r="AA11" s="9" t="s">
        <v>1253</v>
      </c>
      <c r="AB11" s="9" t="s">
        <v>1254</v>
      </c>
      <c r="AC11" s="12"/>
      <c r="AE11" s="13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</row>
    <row r="12">
      <c r="A12" s="8"/>
      <c r="B12" s="9" t="s">
        <v>44</v>
      </c>
      <c r="C12" s="9">
        <v>5.0</v>
      </c>
      <c r="D12" s="9" t="s">
        <v>45</v>
      </c>
      <c r="E12" s="8">
        <v>5.0</v>
      </c>
      <c r="F12" s="9">
        <f t="shared" si="1"/>
        <v>21</v>
      </c>
      <c r="G12" s="9">
        <f t="shared" si="2"/>
        <v>37</v>
      </c>
      <c r="H12" s="9">
        <f t="shared" si="3"/>
        <v>53</v>
      </c>
      <c r="I12" s="9">
        <f t="shared" si="4"/>
        <v>69</v>
      </c>
      <c r="J12" s="9">
        <f t="shared" si="5"/>
        <v>85</v>
      </c>
      <c r="K12" s="8"/>
      <c r="L12" s="8">
        <v>10.0</v>
      </c>
      <c r="M12" s="13" t="s">
        <v>1255</v>
      </c>
      <c r="N12" s="13" t="s">
        <v>1256</v>
      </c>
      <c r="O12" s="13" t="s">
        <v>1257</v>
      </c>
      <c r="P12" s="13" t="s">
        <v>1258</v>
      </c>
      <c r="Q12" s="13" t="s">
        <v>1259</v>
      </c>
      <c r="R12" s="13" t="s">
        <v>1260</v>
      </c>
      <c r="S12" s="12"/>
      <c r="U12" s="9" t="s">
        <v>1261</v>
      </c>
      <c r="V12" s="9" t="str">
        <f t="array" ref="V12:V15">"FV1[n][4:9]["&amp; SEQUENCE(4,1,0,2) &amp;":"&amp; SEQUENCE(4,1,5,2) &amp;"]"</f>
        <v>FV1[n][4:9][0:5]</v>
      </c>
      <c r="W12" s="9">
        <v>11.0</v>
      </c>
      <c r="X12" s="9" t="s">
        <v>1193</v>
      </c>
      <c r="Y12" s="9" t="s">
        <v>1194</v>
      </c>
      <c r="Z12" s="9" t="s">
        <v>1195</v>
      </c>
      <c r="AA12" s="9" t="s">
        <v>1262</v>
      </c>
      <c r="AB12" s="9" t="s">
        <v>1263</v>
      </c>
      <c r="AC12" s="12"/>
      <c r="AE12" s="13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</row>
    <row r="13">
      <c r="A13" s="8"/>
      <c r="B13" s="9" t="s">
        <v>50</v>
      </c>
      <c r="C13" s="9">
        <v>6.0</v>
      </c>
      <c r="D13" s="9" t="s">
        <v>51</v>
      </c>
      <c r="E13" s="8">
        <v>6.0</v>
      </c>
      <c r="F13" s="9">
        <f t="shared" si="1"/>
        <v>22</v>
      </c>
      <c r="G13" s="9">
        <f t="shared" si="2"/>
        <v>38</v>
      </c>
      <c r="H13" s="9">
        <f t="shared" si="3"/>
        <v>54</v>
      </c>
      <c r="I13" s="9">
        <f t="shared" si="4"/>
        <v>70</v>
      </c>
      <c r="J13" s="9">
        <f t="shared" si="5"/>
        <v>86</v>
      </c>
      <c r="K13" s="8"/>
      <c r="L13" s="8">
        <v>11.0</v>
      </c>
      <c r="M13" s="13" t="s">
        <v>1264</v>
      </c>
      <c r="N13" s="13" t="s">
        <v>1265</v>
      </c>
      <c r="O13" s="13" t="s">
        <v>1266</v>
      </c>
      <c r="P13" s="13" t="s">
        <v>1267</v>
      </c>
      <c r="Q13" s="13" t="s">
        <v>1268</v>
      </c>
      <c r="R13" s="13" t="s">
        <v>1269</v>
      </c>
      <c r="S13" s="12"/>
      <c r="U13" s="9" t="s">
        <v>1270</v>
      </c>
      <c r="V13" s="9" t="s">
        <v>1271</v>
      </c>
      <c r="W13" s="9">
        <v>12.0</v>
      </c>
      <c r="X13" s="9" t="s">
        <v>1213</v>
      </c>
      <c r="Y13" s="9" t="s">
        <v>1214</v>
      </c>
      <c r="Z13" s="9" t="s">
        <v>1215</v>
      </c>
      <c r="AA13" s="9" t="s">
        <v>1272</v>
      </c>
      <c r="AB13" s="9" t="s">
        <v>1273</v>
      </c>
      <c r="AC13" s="12"/>
      <c r="AE13" s="13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</row>
    <row r="14">
      <c r="A14" s="8"/>
      <c r="B14" s="9" t="s">
        <v>55</v>
      </c>
      <c r="C14" s="9">
        <v>7.0</v>
      </c>
      <c r="D14" s="9" t="s">
        <v>56</v>
      </c>
      <c r="E14" s="8">
        <v>7.0</v>
      </c>
      <c r="F14" s="9">
        <f t="shared" si="1"/>
        <v>23</v>
      </c>
      <c r="G14" s="9">
        <f t="shared" si="2"/>
        <v>39</v>
      </c>
      <c r="H14" s="9">
        <f t="shared" si="3"/>
        <v>55</v>
      </c>
      <c r="I14" s="9">
        <f t="shared" si="4"/>
        <v>71</v>
      </c>
      <c r="J14" s="9">
        <f t="shared" si="5"/>
        <v>87</v>
      </c>
      <c r="K14" s="8"/>
      <c r="L14" s="8">
        <v>12.0</v>
      </c>
      <c r="M14" s="13" t="s">
        <v>1274</v>
      </c>
      <c r="N14" s="13" t="s">
        <v>1275</v>
      </c>
      <c r="O14" s="13" t="s">
        <v>1276</v>
      </c>
      <c r="P14" s="13" t="s">
        <v>1277</v>
      </c>
      <c r="Q14" s="13" t="s">
        <v>1278</v>
      </c>
      <c r="R14" s="13" t="s">
        <v>1279</v>
      </c>
      <c r="S14" s="12"/>
      <c r="U14" s="9" t="s">
        <v>1280</v>
      </c>
      <c r="V14" s="9" t="s">
        <v>1281</v>
      </c>
      <c r="W14" s="9">
        <v>13.0</v>
      </c>
      <c r="AC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</row>
    <row r="15">
      <c r="A15" s="8"/>
      <c r="B15" s="9" t="s">
        <v>61</v>
      </c>
      <c r="C15" s="9">
        <v>8.0</v>
      </c>
      <c r="D15" s="9" t="s">
        <v>62</v>
      </c>
      <c r="E15" s="8">
        <v>8.0</v>
      </c>
      <c r="F15" s="9">
        <f t="shared" si="1"/>
        <v>24</v>
      </c>
      <c r="G15" s="9">
        <f t="shared" si="2"/>
        <v>40</v>
      </c>
      <c r="H15" s="9">
        <f t="shared" si="3"/>
        <v>56</v>
      </c>
      <c r="I15" s="9">
        <f t="shared" si="4"/>
        <v>72</v>
      </c>
      <c r="J15" s="9">
        <f t="shared" si="5"/>
        <v>88</v>
      </c>
      <c r="K15" s="8"/>
      <c r="L15" s="8">
        <v>13.0</v>
      </c>
      <c r="M15" s="8">
        <v>0.0</v>
      </c>
      <c r="N15" s="8">
        <v>0.0</v>
      </c>
      <c r="O15" s="8">
        <v>0.0</v>
      </c>
      <c r="P15" s="8">
        <v>0.0</v>
      </c>
      <c r="Q15" s="8">
        <v>0.0</v>
      </c>
      <c r="R15" s="8">
        <v>0.0</v>
      </c>
      <c r="S15" s="12"/>
      <c r="U15" s="9" t="s">
        <v>1282</v>
      </c>
      <c r="V15" s="9" t="s">
        <v>1283</v>
      </c>
      <c r="W15" s="9">
        <v>14.0</v>
      </c>
      <c r="AC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</row>
    <row r="16">
      <c r="A16" s="8"/>
      <c r="B16" s="9" t="s">
        <v>66</v>
      </c>
      <c r="C16" s="9">
        <v>9.0</v>
      </c>
      <c r="D16" s="9" t="s">
        <v>67</v>
      </c>
      <c r="E16" s="8">
        <v>9.0</v>
      </c>
      <c r="F16" s="9">
        <f t="shared" si="1"/>
        <v>25</v>
      </c>
      <c r="G16" s="9">
        <f t="shared" si="2"/>
        <v>41</v>
      </c>
      <c r="H16" s="9">
        <f t="shared" si="3"/>
        <v>57</v>
      </c>
      <c r="I16" s="9">
        <f t="shared" si="4"/>
        <v>73</v>
      </c>
      <c r="J16" s="9">
        <f t="shared" si="5"/>
        <v>89</v>
      </c>
      <c r="K16" s="8"/>
      <c r="L16" s="8">
        <v>14.0</v>
      </c>
      <c r="M16" s="8">
        <v>0.0</v>
      </c>
      <c r="N16" s="8">
        <v>0.0</v>
      </c>
      <c r="O16" s="8">
        <v>0.0</v>
      </c>
      <c r="P16" s="8">
        <v>0.0</v>
      </c>
      <c r="Q16" s="8">
        <v>0.0</v>
      </c>
      <c r="R16" s="8">
        <v>0.0</v>
      </c>
      <c r="S16" s="12"/>
      <c r="U16" s="9" t="s">
        <v>1284</v>
      </c>
      <c r="V16" s="8" t="str">
        <f t="array" ref="V16:V19">"FV1[n][6:11]["&amp; SEQUENCE(4,1,0,2) &amp;":"&amp; SEQUENCE(4,1,5,2) &amp;"]"</f>
        <v>FV1[n][6:11][0:5]</v>
      </c>
      <c r="W16" s="9">
        <v>15.0</v>
      </c>
      <c r="AC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</row>
    <row r="17">
      <c r="A17" s="8"/>
      <c r="B17" s="9" t="s">
        <v>72</v>
      </c>
      <c r="C17" s="9">
        <v>10.0</v>
      </c>
      <c r="D17" s="9" t="s">
        <v>73</v>
      </c>
      <c r="E17" s="8">
        <v>10.0</v>
      </c>
      <c r="F17" s="9">
        <f t="shared" si="1"/>
        <v>26</v>
      </c>
      <c r="G17" s="9">
        <f t="shared" si="2"/>
        <v>42</v>
      </c>
      <c r="H17" s="9">
        <f t="shared" si="3"/>
        <v>58</v>
      </c>
      <c r="I17" s="9">
        <f t="shared" si="4"/>
        <v>74</v>
      </c>
      <c r="J17" s="9">
        <f t="shared" si="5"/>
        <v>90</v>
      </c>
      <c r="K17" s="8"/>
      <c r="L17" s="8">
        <v>15.0</v>
      </c>
      <c r="M17" s="8">
        <v>0.0</v>
      </c>
      <c r="N17" s="8">
        <v>0.0</v>
      </c>
      <c r="O17" s="8">
        <v>0.0</v>
      </c>
      <c r="P17" s="8">
        <v>0.0</v>
      </c>
      <c r="Q17" s="8">
        <v>0.0</v>
      </c>
      <c r="R17" s="8">
        <v>0.0</v>
      </c>
      <c r="S17" s="12"/>
      <c r="U17" s="9" t="s">
        <v>1285</v>
      </c>
      <c r="V17" s="9" t="s">
        <v>1286</v>
      </c>
      <c r="W17" s="9">
        <v>16.0</v>
      </c>
      <c r="AC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</row>
    <row r="18">
      <c r="A18" s="8"/>
      <c r="B18" s="9" t="s">
        <v>77</v>
      </c>
      <c r="C18" s="9">
        <v>11.0</v>
      </c>
      <c r="D18" s="9" t="s">
        <v>78</v>
      </c>
      <c r="E18" s="8">
        <v>11.0</v>
      </c>
      <c r="F18" s="9">
        <f t="shared" si="1"/>
        <v>27</v>
      </c>
      <c r="G18" s="9">
        <f t="shared" si="2"/>
        <v>43</v>
      </c>
      <c r="H18" s="9">
        <f t="shared" si="3"/>
        <v>59</v>
      </c>
      <c r="I18" s="9">
        <f t="shared" si="4"/>
        <v>75</v>
      </c>
      <c r="J18" s="9">
        <f t="shared" si="5"/>
        <v>91</v>
      </c>
      <c r="K18" s="8"/>
      <c r="L18" s="8">
        <v>16.0</v>
      </c>
      <c r="M18" s="8">
        <v>0.0</v>
      </c>
      <c r="N18" s="8">
        <v>0.0</v>
      </c>
      <c r="O18" s="8">
        <v>0.0</v>
      </c>
      <c r="P18" s="8">
        <v>0.0</v>
      </c>
      <c r="Q18" s="8">
        <v>0.0</v>
      </c>
      <c r="R18" s="8">
        <v>0.0</v>
      </c>
      <c r="S18" s="12"/>
      <c r="U18" s="9" t="s">
        <v>1287</v>
      </c>
      <c r="V18" s="9" t="s">
        <v>1288</v>
      </c>
      <c r="W18" s="9">
        <v>17.0</v>
      </c>
      <c r="AC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</row>
    <row r="19">
      <c r="A19" s="8"/>
      <c r="B19" s="9" t="s">
        <v>81</v>
      </c>
      <c r="C19" s="9">
        <v>12.0</v>
      </c>
      <c r="D19" s="9" t="s">
        <v>82</v>
      </c>
      <c r="E19" s="8">
        <v>12.0</v>
      </c>
      <c r="F19" s="9">
        <f t="shared" si="1"/>
        <v>28</v>
      </c>
      <c r="G19" s="9">
        <f t="shared" si="2"/>
        <v>44</v>
      </c>
      <c r="H19" s="9">
        <f t="shared" si="3"/>
        <v>60</v>
      </c>
      <c r="I19" s="9">
        <f t="shared" si="4"/>
        <v>76</v>
      </c>
      <c r="J19" s="9">
        <f t="shared" si="5"/>
        <v>92</v>
      </c>
      <c r="K19" s="8"/>
      <c r="L19" s="8">
        <v>17.0</v>
      </c>
      <c r="M19" s="13" t="s">
        <v>1289</v>
      </c>
      <c r="N19" s="13" t="s">
        <v>1290</v>
      </c>
      <c r="O19" s="13" t="s">
        <v>1291</v>
      </c>
      <c r="P19" s="13" t="s">
        <v>1292</v>
      </c>
      <c r="Q19" s="13" t="s">
        <v>1293</v>
      </c>
      <c r="R19" s="13" t="s">
        <v>1294</v>
      </c>
      <c r="S19" s="12"/>
      <c r="U19" s="9" t="s">
        <v>1295</v>
      </c>
      <c r="V19" s="9" t="s">
        <v>1296</v>
      </c>
      <c r="W19" s="9">
        <v>18.0</v>
      </c>
      <c r="AC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</row>
    <row r="20">
      <c r="A20" s="8"/>
      <c r="B20" s="9" t="s">
        <v>84</v>
      </c>
      <c r="C20" s="9">
        <f t="array" ref="C20:C31">SEQUENCE(12,1,C8+16)</f>
        <v>17</v>
      </c>
      <c r="D20" s="9" t="s">
        <v>85</v>
      </c>
      <c r="E20" s="9">
        <f t="array" ref="E20:E31">SEQUENCE(12,1,E8+32)</f>
        <v>33</v>
      </c>
      <c r="F20" s="9">
        <f t="shared" si="1"/>
        <v>49</v>
      </c>
      <c r="G20" s="9">
        <f t="shared" si="2"/>
        <v>65</v>
      </c>
      <c r="H20" s="9">
        <f t="shared" si="3"/>
        <v>81</v>
      </c>
      <c r="I20" s="9">
        <f t="shared" si="4"/>
        <v>97</v>
      </c>
      <c r="J20" s="9">
        <f t="shared" si="5"/>
        <v>113</v>
      </c>
      <c r="K20" s="8"/>
      <c r="L20" s="8">
        <v>18.0</v>
      </c>
      <c r="M20" s="13" t="s">
        <v>1297</v>
      </c>
      <c r="N20" s="13" t="s">
        <v>1298</v>
      </c>
      <c r="O20" s="13" t="s">
        <v>1299</v>
      </c>
      <c r="P20" s="13" t="s">
        <v>1300</v>
      </c>
      <c r="Q20" s="13" t="s">
        <v>1301</v>
      </c>
      <c r="R20" s="13" t="s">
        <v>1302</v>
      </c>
      <c r="S20" s="12"/>
      <c r="T20" s="12"/>
      <c r="U20" s="12"/>
      <c r="V20" s="12"/>
      <c r="W20" s="9">
        <v>19.0</v>
      </c>
      <c r="AC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</row>
    <row r="21">
      <c r="A21" s="8"/>
      <c r="B21" s="9" t="s">
        <v>88</v>
      </c>
      <c r="C21" s="9">
        <v>18.0</v>
      </c>
      <c r="D21" s="9" t="s">
        <v>89</v>
      </c>
      <c r="E21" s="9">
        <v>34.0</v>
      </c>
      <c r="F21" s="9">
        <f t="shared" si="1"/>
        <v>50</v>
      </c>
      <c r="G21" s="9">
        <f t="shared" si="2"/>
        <v>66</v>
      </c>
      <c r="H21" s="9">
        <f t="shared" si="3"/>
        <v>82</v>
      </c>
      <c r="I21" s="9">
        <f t="shared" si="4"/>
        <v>98</v>
      </c>
      <c r="J21" s="9">
        <f t="shared" si="5"/>
        <v>114</v>
      </c>
      <c r="K21" s="8"/>
      <c r="L21" s="8">
        <v>19.0</v>
      </c>
      <c r="M21" s="13" t="s">
        <v>1303</v>
      </c>
      <c r="N21" s="13" t="s">
        <v>1304</v>
      </c>
      <c r="O21" s="13" t="s">
        <v>1305</v>
      </c>
      <c r="P21" s="13" t="s">
        <v>1306</v>
      </c>
      <c r="Q21" s="13" t="s">
        <v>1307</v>
      </c>
      <c r="R21" s="13" t="s">
        <v>1308</v>
      </c>
      <c r="S21" s="12"/>
      <c r="T21" s="12"/>
      <c r="U21" s="12"/>
      <c r="V21" s="12"/>
      <c r="W21" s="9">
        <v>20.0</v>
      </c>
      <c r="AC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</row>
    <row r="22">
      <c r="A22" s="8"/>
      <c r="B22" s="9" t="s">
        <v>91</v>
      </c>
      <c r="C22" s="9">
        <v>19.0</v>
      </c>
      <c r="D22" s="9" t="s">
        <v>92</v>
      </c>
      <c r="E22" s="9">
        <v>35.0</v>
      </c>
      <c r="F22" s="9">
        <f t="shared" si="1"/>
        <v>51</v>
      </c>
      <c r="G22" s="9">
        <f t="shared" si="2"/>
        <v>67</v>
      </c>
      <c r="H22" s="9">
        <f t="shared" si="3"/>
        <v>83</v>
      </c>
      <c r="I22" s="9">
        <f t="shared" si="4"/>
        <v>99</v>
      </c>
      <c r="J22" s="9">
        <f t="shared" si="5"/>
        <v>115</v>
      </c>
      <c r="K22" s="8"/>
      <c r="L22" s="8">
        <v>20.0</v>
      </c>
      <c r="M22" s="13" t="s">
        <v>1309</v>
      </c>
      <c r="N22" s="13" t="s">
        <v>1310</v>
      </c>
      <c r="O22" s="13" t="s">
        <v>1311</v>
      </c>
      <c r="P22" s="13" t="s">
        <v>1312</v>
      </c>
      <c r="Q22" s="13" t="s">
        <v>1313</v>
      </c>
      <c r="R22" s="13" t="s">
        <v>1314</v>
      </c>
      <c r="S22" s="12"/>
      <c r="T22" s="12"/>
      <c r="U22" s="12"/>
      <c r="V22" s="12"/>
      <c r="W22" s="9">
        <v>21.0</v>
      </c>
      <c r="AC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</row>
    <row r="23">
      <c r="A23" s="8"/>
      <c r="B23" s="9" t="s">
        <v>100</v>
      </c>
      <c r="C23" s="9">
        <v>20.0</v>
      </c>
      <c r="D23" s="9" t="s">
        <v>101</v>
      </c>
      <c r="E23" s="9">
        <v>36.0</v>
      </c>
      <c r="F23" s="9">
        <f t="shared" si="1"/>
        <v>52</v>
      </c>
      <c r="G23" s="9">
        <f t="shared" si="2"/>
        <v>68</v>
      </c>
      <c r="H23" s="9">
        <f t="shared" si="3"/>
        <v>84</v>
      </c>
      <c r="I23" s="9">
        <f t="shared" si="4"/>
        <v>100</v>
      </c>
      <c r="J23" s="9">
        <f t="shared" si="5"/>
        <v>116</v>
      </c>
      <c r="K23" s="8"/>
      <c r="L23" s="8">
        <v>21.0</v>
      </c>
      <c r="M23" s="13" t="s">
        <v>1315</v>
      </c>
      <c r="N23" s="13" t="s">
        <v>1316</v>
      </c>
      <c r="O23" s="13" t="s">
        <v>1317</v>
      </c>
      <c r="P23" s="13" t="s">
        <v>1318</v>
      </c>
      <c r="Q23" s="13" t="s">
        <v>1319</v>
      </c>
      <c r="R23" s="13" t="s">
        <v>1320</v>
      </c>
      <c r="S23" s="12"/>
      <c r="T23" s="12"/>
      <c r="U23" s="12"/>
      <c r="V23" s="12"/>
      <c r="W23" s="9">
        <v>22.0</v>
      </c>
      <c r="AC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</row>
    <row r="24">
      <c r="A24" s="8"/>
      <c r="B24" s="9" t="s">
        <v>105</v>
      </c>
      <c r="C24" s="9">
        <v>21.0</v>
      </c>
      <c r="D24" s="9" t="s">
        <v>106</v>
      </c>
      <c r="E24" s="9">
        <v>37.0</v>
      </c>
      <c r="F24" s="9">
        <f t="shared" si="1"/>
        <v>53</v>
      </c>
      <c r="G24" s="9">
        <f t="shared" si="2"/>
        <v>69</v>
      </c>
      <c r="H24" s="9">
        <f t="shared" si="3"/>
        <v>85</v>
      </c>
      <c r="I24" s="9">
        <f t="shared" si="4"/>
        <v>101</v>
      </c>
      <c r="J24" s="9">
        <f t="shared" si="5"/>
        <v>117</v>
      </c>
      <c r="K24" s="8"/>
      <c r="L24" s="8">
        <v>22.0</v>
      </c>
      <c r="M24" s="13" t="s">
        <v>1321</v>
      </c>
      <c r="N24" s="13" t="s">
        <v>1322</v>
      </c>
      <c r="O24" s="13" t="s">
        <v>1323</v>
      </c>
      <c r="P24" s="13" t="s">
        <v>1324</v>
      </c>
      <c r="Q24" s="13" t="s">
        <v>1325</v>
      </c>
      <c r="R24" s="13" t="s">
        <v>1326</v>
      </c>
      <c r="S24" s="12"/>
      <c r="T24" s="12"/>
      <c r="U24" s="12"/>
      <c r="V24" s="12"/>
      <c r="W24" s="9">
        <v>23.0</v>
      </c>
      <c r="AC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</row>
    <row r="25">
      <c r="A25" s="8"/>
      <c r="B25" s="9" t="s">
        <v>111</v>
      </c>
      <c r="C25" s="9">
        <v>22.0</v>
      </c>
      <c r="D25" s="9" t="s">
        <v>112</v>
      </c>
      <c r="E25" s="9">
        <v>38.0</v>
      </c>
      <c r="F25" s="9">
        <f t="shared" si="1"/>
        <v>54</v>
      </c>
      <c r="G25" s="9">
        <f t="shared" si="2"/>
        <v>70</v>
      </c>
      <c r="H25" s="9">
        <f t="shared" si="3"/>
        <v>86</v>
      </c>
      <c r="I25" s="9">
        <f t="shared" si="4"/>
        <v>102</v>
      </c>
      <c r="J25" s="9">
        <f t="shared" si="5"/>
        <v>118</v>
      </c>
      <c r="K25" s="8"/>
      <c r="L25" s="8">
        <v>23.0</v>
      </c>
      <c r="M25" s="13" t="s">
        <v>1327</v>
      </c>
      <c r="N25" s="13" t="s">
        <v>1328</v>
      </c>
      <c r="O25" s="13" t="s">
        <v>1329</v>
      </c>
      <c r="P25" s="13" t="s">
        <v>1330</v>
      </c>
      <c r="Q25" s="13" t="s">
        <v>1331</v>
      </c>
      <c r="R25" s="13" t="s">
        <v>1332</v>
      </c>
      <c r="S25" s="12"/>
      <c r="T25" s="12"/>
      <c r="U25" s="12"/>
      <c r="V25" s="12"/>
      <c r="W25" s="9">
        <v>24.0</v>
      </c>
      <c r="AC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</row>
    <row r="26">
      <c r="A26" s="8"/>
      <c r="B26" s="9" t="s">
        <v>116</v>
      </c>
      <c r="C26" s="9">
        <v>23.0</v>
      </c>
      <c r="D26" s="9" t="s">
        <v>117</v>
      </c>
      <c r="E26" s="9">
        <v>39.0</v>
      </c>
      <c r="F26" s="9">
        <f t="shared" si="1"/>
        <v>55</v>
      </c>
      <c r="G26" s="9">
        <f t="shared" si="2"/>
        <v>71</v>
      </c>
      <c r="H26" s="9">
        <f t="shared" si="3"/>
        <v>87</v>
      </c>
      <c r="I26" s="9">
        <f t="shared" si="4"/>
        <v>103</v>
      </c>
      <c r="J26" s="9">
        <f t="shared" si="5"/>
        <v>119</v>
      </c>
      <c r="K26" s="8"/>
      <c r="L26" s="8">
        <v>24.0</v>
      </c>
      <c r="M26" s="13" t="s">
        <v>1333</v>
      </c>
      <c r="N26" s="13" t="s">
        <v>1334</v>
      </c>
      <c r="O26" s="13" t="s">
        <v>1335</v>
      </c>
      <c r="P26" s="13" t="s">
        <v>1336</v>
      </c>
      <c r="Q26" s="13" t="s">
        <v>1337</v>
      </c>
      <c r="R26" s="13" t="s">
        <v>1338</v>
      </c>
      <c r="S26" s="12"/>
      <c r="T26" s="12"/>
      <c r="U26" s="12"/>
      <c r="V26" s="12"/>
      <c r="W26" s="9">
        <v>25.0</v>
      </c>
      <c r="AC26" s="12"/>
      <c r="AD26" s="13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</row>
    <row r="27">
      <c r="A27" s="8"/>
      <c r="B27" s="9" t="s">
        <v>122</v>
      </c>
      <c r="C27" s="9">
        <v>24.0</v>
      </c>
      <c r="D27" s="9" t="s">
        <v>123</v>
      </c>
      <c r="E27" s="9">
        <v>40.0</v>
      </c>
      <c r="F27" s="9">
        <f t="shared" si="1"/>
        <v>56</v>
      </c>
      <c r="G27" s="9">
        <f t="shared" si="2"/>
        <v>72</v>
      </c>
      <c r="H27" s="9">
        <f t="shared" si="3"/>
        <v>88</v>
      </c>
      <c r="I27" s="9">
        <f t="shared" si="4"/>
        <v>104</v>
      </c>
      <c r="J27" s="9">
        <f t="shared" si="5"/>
        <v>120</v>
      </c>
      <c r="K27" s="8"/>
      <c r="L27" s="8">
        <v>25.0</v>
      </c>
      <c r="M27" s="13" t="s">
        <v>1339</v>
      </c>
      <c r="N27" s="13" t="s">
        <v>1340</v>
      </c>
      <c r="O27" s="13" t="s">
        <v>1341</v>
      </c>
      <c r="P27" s="13" t="s">
        <v>1342</v>
      </c>
      <c r="Q27" s="13" t="s">
        <v>1343</v>
      </c>
      <c r="R27" s="13" t="s">
        <v>1344</v>
      </c>
      <c r="S27" s="12"/>
      <c r="T27" s="12"/>
      <c r="U27" s="12"/>
      <c r="V27" s="12"/>
      <c r="W27" s="9">
        <v>26.0</v>
      </c>
      <c r="AC27" s="12"/>
      <c r="AD27" s="13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</row>
    <row r="28">
      <c r="A28" s="8"/>
      <c r="B28" s="9" t="s">
        <v>127</v>
      </c>
      <c r="C28" s="9">
        <v>25.0</v>
      </c>
      <c r="D28" s="9" t="s">
        <v>128</v>
      </c>
      <c r="E28" s="9">
        <v>41.0</v>
      </c>
      <c r="F28" s="9">
        <f t="shared" si="1"/>
        <v>57</v>
      </c>
      <c r="G28" s="9">
        <f t="shared" si="2"/>
        <v>73</v>
      </c>
      <c r="H28" s="9">
        <f t="shared" si="3"/>
        <v>89</v>
      </c>
      <c r="I28" s="9">
        <f t="shared" si="4"/>
        <v>105</v>
      </c>
      <c r="J28" s="9">
        <f t="shared" si="5"/>
        <v>121</v>
      </c>
      <c r="K28" s="8"/>
      <c r="L28" s="8">
        <v>26.0</v>
      </c>
      <c r="M28" s="13" t="s">
        <v>1345</v>
      </c>
      <c r="N28" s="13" t="s">
        <v>1346</v>
      </c>
      <c r="O28" s="13" t="s">
        <v>1347</v>
      </c>
      <c r="P28" s="13" t="s">
        <v>1348</v>
      </c>
      <c r="Q28" s="13" t="s">
        <v>1349</v>
      </c>
      <c r="R28" s="13" t="s">
        <v>1350</v>
      </c>
      <c r="S28" s="12"/>
      <c r="T28" s="12"/>
      <c r="U28" s="12"/>
      <c r="V28" s="12"/>
      <c r="W28" s="9">
        <v>27.0</v>
      </c>
      <c r="AC28" s="12"/>
      <c r="AD28" s="13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</row>
    <row r="29">
      <c r="A29" s="8"/>
      <c r="B29" s="9" t="s">
        <v>133</v>
      </c>
      <c r="C29" s="9">
        <v>26.0</v>
      </c>
      <c r="D29" s="9" t="s">
        <v>134</v>
      </c>
      <c r="E29" s="9">
        <v>42.0</v>
      </c>
      <c r="F29" s="9">
        <f t="shared" si="1"/>
        <v>58</v>
      </c>
      <c r="G29" s="9">
        <f t="shared" si="2"/>
        <v>74</v>
      </c>
      <c r="H29" s="9">
        <f t="shared" si="3"/>
        <v>90</v>
      </c>
      <c r="I29" s="9">
        <f t="shared" si="4"/>
        <v>106</v>
      </c>
      <c r="J29" s="9">
        <f t="shared" si="5"/>
        <v>122</v>
      </c>
      <c r="K29" s="8"/>
      <c r="L29" s="8">
        <v>27.0</v>
      </c>
      <c r="M29" s="13" t="s">
        <v>1351</v>
      </c>
      <c r="N29" s="13" t="s">
        <v>1352</v>
      </c>
      <c r="O29" s="13" t="s">
        <v>1353</v>
      </c>
      <c r="P29" s="13" t="s">
        <v>1354</v>
      </c>
      <c r="Q29" s="13" t="s">
        <v>1355</v>
      </c>
      <c r="R29" s="13" t="s">
        <v>1356</v>
      </c>
      <c r="S29" s="12"/>
      <c r="T29" s="12"/>
      <c r="U29" s="12"/>
      <c r="V29" s="12"/>
      <c r="W29" s="9">
        <v>28.0</v>
      </c>
      <c r="AC29" s="12"/>
      <c r="AD29" s="13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</row>
    <row r="30">
      <c r="A30" s="8"/>
      <c r="B30" s="9" t="s">
        <v>138</v>
      </c>
      <c r="C30" s="9">
        <v>27.0</v>
      </c>
      <c r="D30" s="9" t="s">
        <v>139</v>
      </c>
      <c r="E30" s="9">
        <v>43.0</v>
      </c>
      <c r="F30" s="9">
        <f t="shared" si="1"/>
        <v>59</v>
      </c>
      <c r="G30" s="9">
        <f t="shared" si="2"/>
        <v>75</v>
      </c>
      <c r="H30" s="9">
        <f t="shared" si="3"/>
        <v>91</v>
      </c>
      <c r="I30" s="9">
        <f t="shared" si="4"/>
        <v>107</v>
      </c>
      <c r="J30" s="9">
        <f t="shared" si="5"/>
        <v>123</v>
      </c>
      <c r="K30" s="8"/>
      <c r="L30" s="8">
        <v>28.0</v>
      </c>
      <c r="M30" s="13" t="s">
        <v>1357</v>
      </c>
      <c r="N30" s="13" t="s">
        <v>1358</v>
      </c>
      <c r="O30" s="13" t="s">
        <v>1359</v>
      </c>
      <c r="P30" s="13" t="s">
        <v>1360</v>
      </c>
      <c r="Q30" s="13" t="s">
        <v>1361</v>
      </c>
      <c r="R30" s="13" t="s">
        <v>1362</v>
      </c>
      <c r="S30" s="12"/>
      <c r="T30" s="12"/>
      <c r="U30" s="12"/>
      <c r="V30" s="12"/>
      <c r="W30" s="9">
        <v>29.0</v>
      </c>
      <c r="AC30" s="12"/>
      <c r="AD30" s="13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</row>
    <row r="31">
      <c r="A31" s="8"/>
      <c r="B31" s="9" t="s">
        <v>143</v>
      </c>
      <c r="C31" s="9">
        <v>28.0</v>
      </c>
      <c r="D31" s="9" t="s">
        <v>144</v>
      </c>
      <c r="E31" s="9">
        <v>44.0</v>
      </c>
      <c r="F31" s="9">
        <f t="shared" si="1"/>
        <v>60</v>
      </c>
      <c r="G31" s="9">
        <f t="shared" si="2"/>
        <v>76</v>
      </c>
      <c r="H31" s="9">
        <f t="shared" si="3"/>
        <v>92</v>
      </c>
      <c r="I31" s="9">
        <f t="shared" si="4"/>
        <v>108</v>
      </c>
      <c r="J31" s="9">
        <f t="shared" si="5"/>
        <v>124</v>
      </c>
      <c r="K31" s="8"/>
      <c r="L31" s="8">
        <v>29.0</v>
      </c>
      <c r="M31" s="8">
        <v>0.0</v>
      </c>
      <c r="N31" s="8">
        <v>0.0</v>
      </c>
      <c r="O31" s="8">
        <v>0.0</v>
      </c>
      <c r="P31" s="8">
        <v>0.0</v>
      </c>
      <c r="Q31" s="8">
        <v>0.0</v>
      </c>
      <c r="R31" s="8">
        <v>0.0</v>
      </c>
      <c r="S31" s="12"/>
      <c r="T31" s="12"/>
      <c r="U31" s="12"/>
      <c r="V31" s="12"/>
      <c r="W31" s="9">
        <v>30.0</v>
      </c>
      <c r="AC31" s="12"/>
      <c r="AD31" s="13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</row>
    <row r="32">
      <c r="A32" s="8"/>
      <c r="B32" s="9" t="s">
        <v>148</v>
      </c>
      <c r="C32" s="9">
        <f t="array" ref="C32:C43">SEQUENCE(12,1,C20+16)</f>
        <v>33</v>
      </c>
      <c r="D32" s="9" t="s">
        <v>149</v>
      </c>
      <c r="E32" s="9">
        <f t="array" ref="E32:E43">SEQUENCE(12,1,E20+32)</f>
        <v>65</v>
      </c>
      <c r="F32" s="9">
        <f t="shared" si="1"/>
        <v>81</v>
      </c>
      <c r="G32" s="9">
        <f t="shared" si="2"/>
        <v>97</v>
      </c>
      <c r="H32" s="9">
        <f t="shared" si="3"/>
        <v>113</v>
      </c>
      <c r="I32" s="9">
        <f t="shared" si="4"/>
        <v>129</v>
      </c>
      <c r="J32" s="9">
        <f t="shared" si="5"/>
        <v>145</v>
      </c>
      <c r="K32" s="8"/>
      <c r="L32" s="8">
        <v>30.0</v>
      </c>
      <c r="M32" s="8">
        <v>0.0</v>
      </c>
      <c r="N32" s="8">
        <v>0.0</v>
      </c>
      <c r="O32" s="8">
        <v>0.0</v>
      </c>
      <c r="P32" s="8">
        <v>0.0</v>
      </c>
      <c r="Q32" s="8">
        <v>0.0</v>
      </c>
      <c r="R32" s="8">
        <v>0.0</v>
      </c>
      <c r="S32" s="12"/>
      <c r="T32" s="12"/>
      <c r="U32" s="12"/>
      <c r="V32" s="12"/>
      <c r="W32" s="9">
        <v>31.0</v>
      </c>
      <c r="AC32" s="12"/>
      <c r="AD32" s="13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</row>
    <row r="33">
      <c r="A33" s="8"/>
      <c r="B33" s="9" t="s">
        <v>153</v>
      </c>
      <c r="C33" s="9">
        <v>34.0</v>
      </c>
      <c r="D33" s="9" t="s">
        <v>154</v>
      </c>
      <c r="E33" s="9">
        <v>66.0</v>
      </c>
      <c r="F33" s="9">
        <f t="shared" si="1"/>
        <v>82</v>
      </c>
      <c r="G33" s="9">
        <f t="shared" si="2"/>
        <v>98</v>
      </c>
      <c r="H33" s="9">
        <f t="shared" si="3"/>
        <v>114</v>
      </c>
      <c r="I33" s="9">
        <f t="shared" si="4"/>
        <v>130</v>
      </c>
      <c r="J33" s="9">
        <f t="shared" si="5"/>
        <v>146</v>
      </c>
      <c r="K33" s="8"/>
      <c r="L33" s="8">
        <v>31.0</v>
      </c>
      <c r="M33" s="8">
        <v>0.0</v>
      </c>
      <c r="N33" s="8">
        <v>0.0</v>
      </c>
      <c r="O33" s="8">
        <v>0.0</v>
      </c>
      <c r="P33" s="8">
        <v>0.0</v>
      </c>
      <c r="Q33" s="8">
        <v>0.0</v>
      </c>
      <c r="R33" s="8">
        <v>0.0</v>
      </c>
      <c r="S33" s="12"/>
      <c r="T33" s="12"/>
      <c r="U33" s="12"/>
      <c r="V33" s="12"/>
      <c r="W33" s="9">
        <v>32.0</v>
      </c>
      <c r="AC33" s="12"/>
      <c r="AD33" s="13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</row>
    <row r="34">
      <c r="A34" s="8"/>
      <c r="B34" s="9" t="s">
        <v>158</v>
      </c>
      <c r="C34" s="9">
        <v>35.0</v>
      </c>
      <c r="D34" s="9" t="s">
        <v>159</v>
      </c>
      <c r="E34" s="9">
        <v>67.0</v>
      </c>
      <c r="F34" s="9">
        <f t="shared" si="1"/>
        <v>83</v>
      </c>
      <c r="G34" s="9">
        <f t="shared" si="2"/>
        <v>99</v>
      </c>
      <c r="H34" s="9">
        <f t="shared" si="3"/>
        <v>115</v>
      </c>
      <c r="I34" s="9">
        <f t="shared" si="4"/>
        <v>131</v>
      </c>
      <c r="J34" s="9">
        <f t="shared" si="5"/>
        <v>147</v>
      </c>
      <c r="K34" s="8"/>
      <c r="L34" s="8">
        <v>32.0</v>
      </c>
      <c r="M34" s="8">
        <v>0.0</v>
      </c>
      <c r="N34" s="8">
        <v>0.0</v>
      </c>
      <c r="O34" s="8">
        <v>0.0</v>
      </c>
      <c r="P34" s="8">
        <v>0.0</v>
      </c>
      <c r="Q34" s="8">
        <v>0.0</v>
      </c>
      <c r="R34" s="8">
        <v>0.0</v>
      </c>
      <c r="S34" s="12"/>
      <c r="T34" s="12"/>
      <c r="U34" s="12"/>
      <c r="V34" s="12"/>
      <c r="W34" s="9">
        <v>33.0</v>
      </c>
      <c r="AC34" s="12"/>
      <c r="AD34" s="13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</row>
    <row r="35">
      <c r="A35" s="8"/>
      <c r="B35" s="9" t="s">
        <v>160</v>
      </c>
      <c r="C35" s="9">
        <v>36.0</v>
      </c>
      <c r="D35" s="9" t="s">
        <v>161</v>
      </c>
      <c r="E35" s="9">
        <v>68.0</v>
      </c>
      <c r="F35" s="9">
        <f t="shared" si="1"/>
        <v>84</v>
      </c>
      <c r="G35" s="9">
        <f t="shared" si="2"/>
        <v>100</v>
      </c>
      <c r="H35" s="9">
        <f t="shared" si="3"/>
        <v>116</v>
      </c>
      <c r="I35" s="9">
        <f t="shared" si="4"/>
        <v>132</v>
      </c>
      <c r="J35" s="9">
        <f t="shared" si="5"/>
        <v>148</v>
      </c>
      <c r="K35" s="8"/>
      <c r="L35" s="8">
        <v>33.0</v>
      </c>
      <c r="M35" s="13" t="s">
        <v>1363</v>
      </c>
      <c r="N35" s="13" t="s">
        <v>1364</v>
      </c>
      <c r="O35" s="13" t="s">
        <v>1365</v>
      </c>
      <c r="P35" s="13" t="s">
        <v>1366</v>
      </c>
      <c r="Q35" s="13" t="s">
        <v>1367</v>
      </c>
      <c r="R35" s="13" t="s">
        <v>1368</v>
      </c>
      <c r="S35" s="12"/>
      <c r="T35" s="12"/>
      <c r="U35" s="12"/>
      <c r="V35" s="12"/>
      <c r="W35" s="9">
        <v>34.0</v>
      </c>
      <c r="AC35" s="12"/>
      <c r="AD35" s="13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</row>
    <row r="36">
      <c r="A36" s="8"/>
      <c r="B36" s="9" t="s">
        <v>162</v>
      </c>
      <c r="C36" s="9">
        <v>37.0</v>
      </c>
      <c r="D36" s="9" t="s">
        <v>163</v>
      </c>
      <c r="E36" s="9">
        <v>69.0</v>
      </c>
      <c r="F36" s="9">
        <f t="shared" si="1"/>
        <v>85</v>
      </c>
      <c r="G36" s="9">
        <f t="shared" si="2"/>
        <v>101</v>
      </c>
      <c r="H36" s="9">
        <f t="shared" si="3"/>
        <v>117</v>
      </c>
      <c r="I36" s="9">
        <f t="shared" si="4"/>
        <v>133</v>
      </c>
      <c r="J36" s="9">
        <f t="shared" si="5"/>
        <v>149</v>
      </c>
      <c r="K36" s="8"/>
      <c r="L36" s="8">
        <v>34.0</v>
      </c>
      <c r="M36" s="13" t="s">
        <v>1369</v>
      </c>
      <c r="N36" s="13" t="s">
        <v>1370</v>
      </c>
      <c r="O36" s="13" t="s">
        <v>1371</v>
      </c>
      <c r="P36" s="13" t="s">
        <v>1372</v>
      </c>
      <c r="Q36" s="13" t="s">
        <v>1373</v>
      </c>
      <c r="R36" s="13" t="s">
        <v>1374</v>
      </c>
      <c r="S36" s="12"/>
      <c r="T36" s="12"/>
      <c r="U36" s="12"/>
      <c r="V36" s="12"/>
      <c r="W36" s="9">
        <v>35.0</v>
      </c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</row>
    <row r="37">
      <c r="A37" s="8"/>
      <c r="B37" s="9" t="s">
        <v>164</v>
      </c>
      <c r="C37" s="9">
        <v>38.0</v>
      </c>
      <c r="D37" s="9" t="s">
        <v>165</v>
      </c>
      <c r="E37" s="9">
        <v>70.0</v>
      </c>
      <c r="F37" s="9">
        <f t="shared" si="1"/>
        <v>86</v>
      </c>
      <c r="G37" s="9">
        <f t="shared" si="2"/>
        <v>102</v>
      </c>
      <c r="H37" s="9">
        <f t="shared" si="3"/>
        <v>118</v>
      </c>
      <c r="I37" s="9">
        <f t="shared" si="4"/>
        <v>134</v>
      </c>
      <c r="J37" s="9">
        <f t="shared" si="5"/>
        <v>150</v>
      </c>
      <c r="K37" s="8"/>
      <c r="L37" s="8">
        <v>35.0</v>
      </c>
      <c r="M37" s="13" t="s">
        <v>1375</v>
      </c>
      <c r="N37" s="13" t="s">
        <v>1376</v>
      </c>
      <c r="O37" s="13" t="s">
        <v>1377</v>
      </c>
      <c r="P37" s="13" t="s">
        <v>1378</v>
      </c>
      <c r="Q37" s="13" t="s">
        <v>1379</v>
      </c>
      <c r="R37" s="13" t="s">
        <v>1380</v>
      </c>
      <c r="S37" s="12"/>
      <c r="T37" s="12"/>
      <c r="U37" s="12"/>
      <c r="V37" s="12"/>
      <c r="W37" s="9">
        <v>36.0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</row>
    <row r="38">
      <c r="A38" s="8"/>
      <c r="B38" s="9" t="s">
        <v>167</v>
      </c>
      <c r="C38" s="9">
        <v>39.0</v>
      </c>
      <c r="D38" s="9" t="s">
        <v>168</v>
      </c>
      <c r="E38" s="9">
        <v>71.0</v>
      </c>
      <c r="F38" s="9">
        <f t="shared" si="1"/>
        <v>87</v>
      </c>
      <c r="G38" s="9">
        <f t="shared" si="2"/>
        <v>103</v>
      </c>
      <c r="H38" s="9">
        <f t="shared" si="3"/>
        <v>119</v>
      </c>
      <c r="I38" s="9">
        <f t="shared" si="4"/>
        <v>135</v>
      </c>
      <c r="J38" s="9">
        <f t="shared" si="5"/>
        <v>151</v>
      </c>
      <c r="K38" s="8"/>
      <c r="L38" s="8">
        <v>36.0</v>
      </c>
      <c r="M38" s="13" t="s">
        <v>1381</v>
      </c>
      <c r="N38" s="13" t="s">
        <v>1382</v>
      </c>
      <c r="O38" s="13" t="s">
        <v>1383</v>
      </c>
      <c r="P38" s="13" t="s">
        <v>1384</v>
      </c>
      <c r="Q38" s="13" t="s">
        <v>1385</v>
      </c>
      <c r="R38" s="13" t="s">
        <v>1386</v>
      </c>
      <c r="S38" s="12"/>
      <c r="T38" s="12"/>
      <c r="U38" s="12"/>
      <c r="V38" s="12"/>
      <c r="W38" s="9">
        <v>37.0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</row>
    <row r="39">
      <c r="A39" s="8"/>
      <c r="B39" s="9" t="s">
        <v>174</v>
      </c>
      <c r="C39" s="9">
        <v>40.0</v>
      </c>
      <c r="D39" s="9" t="s">
        <v>175</v>
      </c>
      <c r="E39" s="9">
        <v>72.0</v>
      </c>
      <c r="F39" s="9">
        <f t="shared" si="1"/>
        <v>88</v>
      </c>
      <c r="G39" s="9">
        <f t="shared" si="2"/>
        <v>104</v>
      </c>
      <c r="H39" s="9">
        <f t="shared" si="3"/>
        <v>120</v>
      </c>
      <c r="I39" s="9">
        <f t="shared" si="4"/>
        <v>136</v>
      </c>
      <c r="J39" s="9">
        <f t="shared" si="5"/>
        <v>152</v>
      </c>
      <c r="K39" s="8"/>
      <c r="L39" s="8">
        <v>37.0</v>
      </c>
      <c r="M39" s="13" t="s">
        <v>1387</v>
      </c>
      <c r="N39" s="13" t="s">
        <v>1388</v>
      </c>
      <c r="O39" s="13" t="s">
        <v>1389</v>
      </c>
      <c r="P39" s="13" t="s">
        <v>1390</v>
      </c>
      <c r="Q39" s="13" t="s">
        <v>1391</v>
      </c>
      <c r="R39" s="13" t="s">
        <v>1392</v>
      </c>
      <c r="S39" s="12"/>
      <c r="T39" s="12"/>
      <c r="U39" s="12"/>
      <c r="V39" s="12"/>
      <c r="W39" s="9">
        <v>38.0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</row>
    <row r="40">
      <c r="A40" s="8"/>
      <c r="B40" s="9" t="s">
        <v>178</v>
      </c>
      <c r="C40" s="9">
        <v>41.0</v>
      </c>
      <c r="D40" s="9" t="s">
        <v>179</v>
      </c>
      <c r="E40" s="9">
        <v>73.0</v>
      </c>
      <c r="F40" s="9">
        <f t="shared" si="1"/>
        <v>89</v>
      </c>
      <c r="G40" s="9">
        <f t="shared" si="2"/>
        <v>105</v>
      </c>
      <c r="H40" s="9">
        <f t="shared" si="3"/>
        <v>121</v>
      </c>
      <c r="I40" s="9">
        <f t="shared" si="4"/>
        <v>137</v>
      </c>
      <c r="J40" s="9">
        <f t="shared" si="5"/>
        <v>153</v>
      </c>
      <c r="K40" s="8"/>
      <c r="L40" s="8">
        <v>38.0</v>
      </c>
      <c r="M40" s="13" t="s">
        <v>1393</v>
      </c>
      <c r="N40" s="13" t="s">
        <v>1394</v>
      </c>
      <c r="O40" s="13" t="s">
        <v>1395</v>
      </c>
      <c r="P40" s="13" t="s">
        <v>1396</v>
      </c>
      <c r="Q40" s="13" t="s">
        <v>1397</v>
      </c>
      <c r="R40" s="13" t="s">
        <v>1398</v>
      </c>
      <c r="S40" s="12"/>
      <c r="T40" s="12"/>
      <c r="U40" s="12"/>
      <c r="V40" s="12"/>
      <c r="W40" s="9">
        <v>39.0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</row>
    <row r="41">
      <c r="A41" s="8"/>
      <c r="B41" s="9" t="s">
        <v>182</v>
      </c>
      <c r="C41" s="9">
        <v>42.0</v>
      </c>
      <c r="D41" s="9" t="s">
        <v>183</v>
      </c>
      <c r="E41" s="9">
        <v>74.0</v>
      </c>
      <c r="F41" s="9">
        <f t="shared" si="1"/>
        <v>90</v>
      </c>
      <c r="G41" s="9">
        <f t="shared" si="2"/>
        <v>106</v>
      </c>
      <c r="H41" s="9">
        <f t="shared" si="3"/>
        <v>122</v>
      </c>
      <c r="I41" s="9">
        <f t="shared" si="4"/>
        <v>138</v>
      </c>
      <c r="J41" s="9">
        <f t="shared" si="5"/>
        <v>154</v>
      </c>
      <c r="K41" s="8"/>
      <c r="L41" s="8">
        <v>39.0</v>
      </c>
      <c r="M41" s="13" t="s">
        <v>1399</v>
      </c>
      <c r="N41" s="13" t="s">
        <v>1400</v>
      </c>
      <c r="O41" s="13" t="s">
        <v>1401</v>
      </c>
      <c r="P41" s="13" t="s">
        <v>1402</v>
      </c>
      <c r="Q41" s="13" t="s">
        <v>1403</v>
      </c>
      <c r="R41" s="13" t="s">
        <v>1404</v>
      </c>
      <c r="S41" s="12"/>
      <c r="T41" s="12"/>
      <c r="U41" s="12"/>
      <c r="V41" s="12"/>
      <c r="W41" s="9">
        <v>40.0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</row>
    <row r="42">
      <c r="A42" s="8"/>
      <c r="B42" s="9" t="s">
        <v>186</v>
      </c>
      <c r="C42" s="9">
        <v>43.0</v>
      </c>
      <c r="D42" s="9" t="s">
        <v>187</v>
      </c>
      <c r="E42" s="9">
        <v>75.0</v>
      </c>
      <c r="F42" s="9">
        <f t="shared" si="1"/>
        <v>91</v>
      </c>
      <c r="G42" s="9">
        <f t="shared" si="2"/>
        <v>107</v>
      </c>
      <c r="H42" s="9">
        <f t="shared" si="3"/>
        <v>123</v>
      </c>
      <c r="I42" s="9">
        <f t="shared" si="4"/>
        <v>139</v>
      </c>
      <c r="J42" s="9">
        <f t="shared" si="5"/>
        <v>155</v>
      </c>
      <c r="K42" s="8"/>
      <c r="L42" s="8">
        <v>40.0</v>
      </c>
      <c r="M42" s="13" t="s">
        <v>1405</v>
      </c>
      <c r="N42" s="13" t="s">
        <v>1406</v>
      </c>
      <c r="O42" s="13" t="s">
        <v>1407</v>
      </c>
      <c r="P42" s="13" t="s">
        <v>1408</v>
      </c>
      <c r="Q42" s="13" t="s">
        <v>1409</v>
      </c>
      <c r="R42" s="13" t="s">
        <v>1410</v>
      </c>
      <c r="S42" s="12"/>
      <c r="T42" s="12"/>
      <c r="U42" s="12"/>
      <c r="V42" s="12"/>
      <c r="W42" s="9">
        <v>41.0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</row>
    <row r="43">
      <c r="A43" s="8"/>
      <c r="B43" s="9" t="s">
        <v>190</v>
      </c>
      <c r="C43" s="9">
        <v>44.0</v>
      </c>
      <c r="D43" s="9" t="s">
        <v>191</v>
      </c>
      <c r="E43" s="9">
        <v>76.0</v>
      </c>
      <c r="F43" s="9">
        <f t="shared" si="1"/>
        <v>92</v>
      </c>
      <c r="G43" s="9">
        <f t="shared" si="2"/>
        <v>108</v>
      </c>
      <c r="H43" s="9">
        <f t="shared" si="3"/>
        <v>124</v>
      </c>
      <c r="I43" s="9">
        <f t="shared" si="4"/>
        <v>140</v>
      </c>
      <c r="J43" s="9">
        <f t="shared" si="5"/>
        <v>156</v>
      </c>
      <c r="K43" s="8"/>
      <c r="L43" s="8">
        <v>41.0</v>
      </c>
      <c r="M43" s="13" t="s">
        <v>1411</v>
      </c>
      <c r="N43" s="13" t="s">
        <v>1412</v>
      </c>
      <c r="O43" s="13" t="s">
        <v>1413</v>
      </c>
      <c r="P43" s="13" t="s">
        <v>1414</v>
      </c>
      <c r="Q43" s="13" t="s">
        <v>1415</v>
      </c>
      <c r="R43" s="13" t="s">
        <v>1416</v>
      </c>
      <c r="S43" s="12"/>
      <c r="T43" s="12"/>
      <c r="U43" s="12"/>
      <c r="V43" s="12"/>
      <c r="W43" s="9">
        <v>42.0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</row>
    <row r="44">
      <c r="A44" s="8"/>
      <c r="B44" s="9" t="s">
        <v>194</v>
      </c>
      <c r="C44" s="9">
        <f t="array" ref="C44:C55">SEQUENCE(12,1,C32+16)</f>
        <v>49</v>
      </c>
      <c r="D44" s="9" t="s">
        <v>195</v>
      </c>
      <c r="E44" s="9">
        <f t="array" ref="E44:E55">SEQUENCE(12,1,E32+32)</f>
        <v>97</v>
      </c>
      <c r="F44" s="9">
        <f t="shared" si="1"/>
        <v>113</v>
      </c>
      <c r="G44" s="9">
        <f t="shared" si="2"/>
        <v>129</v>
      </c>
      <c r="H44" s="9">
        <f t="shared" si="3"/>
        <v>145</v>
      </c>
      <c r="I44" s="9">
        <f t="shared" si="4"/>
        <v>161</v>
      </c>
      <c r="J44" s="9">
        <f t="shared" si="5"/>
        <v>177</v>
      </c>
      <c r="K44" s="8"/>
      <c r="L44" s="8">
        <v>42.0</v>
      </c>
      <c r="M44" s="13" t="s">
        <v>1417</v>
      </c>
      <c r="N44" s="13" t="s">
        <v>1418</v>
      </c>
      <c r="O44" s="13" t="s">
        <v>1419</v>
      </c>
      <c r="P44" s="13" t="s">
        <v>1420</v>
      </c>
      <c r="Q44" s="13" t="s">
        <v>1421</v>
      </c>
      <c r="R44" s="13" t="s">
        <v>1422</v>
      </c>
      <c r="S44" s="12"/>
      <c r="T44" s="12"/>
      <c r="U44" s="12"/>
      <c r="V44" s="12"/>
      <c r="W44" s="9">
        <v>43.0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</row>
    <row r="45">
      <c r="A45" s="8"/>
      <c r="B45" s="9" t="s">
        <v>198</v>
      </c>
      <c r="C45" s="9">
        <v>50.0</v>
      </c>
      <c r="D45" s="9" t="s">
        <v>199</v>
      </c>
      <c r="E45" s="9">
        <v>98.0</v>
      </c>
      <c r="F45" s="9">
        <f t="shared" si="1"/>
        <v>114</v>
      </c>
      <c r="G45" s="9">
        <f t="shared" si="2"/>
        <v>130</v>
      </c>
      <c r="H45" s="9">
        <f t="shared" si="3"/>
        <v>146</v>
      </c>
      <c r="I45" s="9">
        <f t="shared" si="4"/>
        <v>162</v>
      </c>
      <c r="J45" s="9">
        <f t="shared" si="5"/>
        <v>178</v>
      </c>
      <c r="K45" s="8"/>
      <c r="L45" s="8">
        <v>43.0</v>
      </c>
      <c r="M45" s="13" t="s">
        <v>1423</v>
      </c>
      <c r="N45" s="13" t="s">
        <v>1424</v>
      </c>
      <c r="O45" s="13" t="s">
        <v>1425</v>
      </c>
      <c r="P45" s="13" t="s">
        <v>1426</v>
      </c>
      <c r="Q45" s="13" t="s">
        <v>1427</v>
      </c>
      <c r="R45" s="13" t="s">
        <v>1428</v>
      </c>
      <c r="S45" s="12"/>
      <c r="T45" s="12"/>
      <c r="U45" s="12"/>
      <c r="V45" s="12"/>
      <c r="W45" s="9">
        <v>44.0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</row>
    <row r="46">
      <c r="A46" s="8"/>
      <c r="B46" s="9" t="s">
        <v>202</v>
      </c>
      <c r="C46" s="9">
        <v>51.0</v>
      </c>
      <c r="D46" s="9" t="s">
        <v>203</v>
      </c>
      <c r="E46" s="9">
        <v>99.0</v>
      </c>
      <c r="F46" s="9">
        <f t="shared" si="1"/>
        <v>115</v>
      </c>
      <c r="G46" s="9">
        <f t="shared" si="2"/>
        <v>131</v>
      </c>
      <c r="H46" s="9">
        <f t="shared" si="3"/>
        <v>147</v>
      </c>
      <c r="I46" s="9">
        <f t="shared" si="4"/>
        <v>163</v>
      </c>
      <c r="J46" s="9">
        <f t="shared" si="5"/>
        <v>179</v>
      </c>
      <c r="K46" s="8"/>
      <c r="L46" s="8">
        <v>44.0</v>
      </c>
      <c r="M46" s="13" t="s">
        <v>1429</v>
      </c>
      <c r="N46" s="13" t="s">
        <v>1430</v>
      </c>
      <c r="O46" s="13" t="s">
        <v>1431</v>
      </c>
      <c r="P46" s="13" t="s">
        <v>1432</v>
      </c>
      <c r="Q46" s="13" t="s">
        <v>1433</v>
      </c>
      <c r="R46" s="13" t="s">
        <v>1434</v>
      </c>
      <c r="S46" s="12"/>
      <c r="T46" s="12"/>
      <c r="U46" s="12"/>
      <c r="V46" s="12"/>
      <c r="W46" s="9">
        <v>45.0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</row>
    <row r="47">
      <c r="A47" s="8"/>
      <c r="B47" s="9" t="s">
        <v>206</v>
      </c>
      <c r="C47" s="9">
        <v>52.0</v>
      </c>
      <c r="D47" s="9" t="s">
        <v>207</v>
      </c>
      <c r="E47" s="9">
        <v>100.0</v>
      </c>
      <c r="F47" s="9">
        <f t="shared" si="1"/>
        <v>116</v>
      </c>
      <c r="G47" s="9">
        <f t="shared" si="2"/>
        <v>132</v>
      </c>
      <c r="H47" s="9">
        <f t="shared" si="3"/>
        <v>148</v>
      </c>
      <c r="I47" s="9">
        <f t="shared" si="4"/>
        <v>164</v>
      </c>
      <c r="J47" s="9">
        <f t="shared" si="5"/>
        <v>180</v>
      </c>
      <c r="K47" s="8"/>
      <c r="L47" s="8">
        <v>45.0</v>
      </c>
      <c r="M47" s="8">
        <v>0.0</v>
      </c>
      <c r="N47" s="8">
        <v>0.0</v>
      </c>
      <c r="O47" s="8">
        <v>0.0</v>
      </c>
      <c r="P47" s="8">
        <v>0.0</v>
      </c>
      <c r="Q47" s="8">
        <v>0.0</v>
      </c>
      <c r="R47" s="8">
        <v>0.0</v>
      </c>
      <c r="S47" s="12"/>
      <c r="T47" s="12"/>
      <c r="U47" s="12"/>
      <c r="V47" s="12"/>
      <c r="W47" s="9">
        <v>46.0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</row>
    <row r="48">
      <c r="A48" s="8"/>
      <c r="B48" s="9" t="s">
        <v>210</v>
      </c>
      <c r="C48" s="9">
        <v>53.0</v>
      </c>
      <c r="D48" s="9" t="s">
        <v>211</v>
      </c>
      <c r="E48" s="9">
        <v>101.0</v>
      </c>
      <c r="F48" s="9">
        <f t="shared" si="1"/>
        <v>117</v>
      </c>
      <c r="G48" s="9">
        <f t="shared" si="2"/>
        <v>133</v>
      </c>
      <c r="H48" s="9">
        <f t="shared" si="3"/>
        <v>149</v>
      </c>
      <c r="I48" s="9">
        <f t="shared" si="4"/>
        <v>165</v>
      </c>
      <c r="J48" s="9">
        <f t="shared" si="5"/>
        <v>181</v>
      </c>
      <c r="K48" s="8"/>
      <c r="L48" s="8">
        <v>46.0</v>
      </c>
      <c r="M48" s="8">
        <v>0.0</v>
      </c>
      <c r="N48" s="8">
        <v>0.0</v>
      </c>
      <c r="O48" s="8">
        <v>0.0</v>
      </c>
      <c r="P48" s="8">
        <v>0.0</v>
      </c>
      <c r="Q48" s="8">
        <v>0.0</v>
      </c>
      <c r="R48" s="8">
        <v>0.0</v>
      </c>
      <c r="S48" s="12"/>
      <c r="T48" s="12"/>
      <c r="U48" s="12"/>
      <c r="V48" s="12"/>
      <c r="W48" s="9">
        <v>47.0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</row>
    <row r="49">
      <c r="A49" s="8"/>
      <c r="B49" s="9" t="s">
        <v>214</v>
      </c>
      <c r="C49" s="9">
        <v>54.0</v>
      </c>
      <c r="D49" s="9" t="s">
        <v>215</v>
      </c>
      <c r="E49" s="9">
        <v>102.0</v>
      </c>
      <c r="F49" s="9">
        <f t="shared" si="1"/>
        <v>118</v>
      </c>
      <c r="G49" s="9">
        <f t="shared" si="2"/>
        <v>134</v>
      </c>
      <c r="H49" s="9">
        <f t="shared" si="3"/>
        <v>150</v>
      </c>
      <c r="I49" s="9">
        <f t="shared" si="4"/>
        <v>166</v>
      </c>
      <c r="J49" s="9">
        <f t="shared" si="5"/>
        <v>182</v>
      </c>
      <c r="K49" s="8"/>
      <c r="L49" s="8">
        <v>47.0</v>
      </c>
      <c r="M49" s="8">
        <v>0.0</v>
      </c>
      <c r="N49" s="8">
        <v>0.0</v>
      </c>
      <c r="O49" s="8">
        <v>0.0</v>
      </c>
      <c r="P49" s="8">
        <v>0.0</v>
      </c>
      <c r="Q49" s="8">
        <v>0.0</v>
      </c>
      <c r="R49" s="8">
        <v>0.0</v>
      </c>
      <c r="S49" s="12"/>
      <c r="T49" s="12"/>
      <c r="U49" s="12"/>
      <c r="V49" s="12"/>
      <c r="W49" s="9">
        <v>48.0</v>
      </c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</row>
    <row r="50">
      <c r="A50" s="8"/>
      <c r="B50" s="9" t="s">
        <v>218</v>
      </c>
      <c r="C50" s="9">
        <v>55.0</v>
      </c>
      <c r="D50" s="9" t="s">
        <v>219</v>
      </c>
      <c r="E50" s="9">
        <v>103.0</v>
      </c>
      <c r="F50" s="9">
        <f t="shared" si="1"/>
        <v>119</v>
      </c>
      <c r="G50" s="9">
        <f t="shared" si="2"/>
        <v>135</v>
      </c>
      <c r="H50" s="9">
        <f t="shared" si="3"/>
        <v>151</v>
      </c>
      <c r="I50" s="9">
        <f t="shared" si="4"/>
        <v>167</v>
      </c>
      <c r="J50" s="9">
        <f t="shared" si="5"/>
        <v>183</v>
      </c>
      <c r="K50" s="8"/>
      <c r="L50" s="8">
        <v>48.0</v>
      </c>
      <c r="M50" s="8">
        <v>0.0</v>
      </c>
      <c r="N50" s="8">
        <v>0.0</v>
      </c>
      <c r="O50" s="8">
        <v>0.0</v>
      </c>
      <c r="P50" s="8">
        <v>0.0</v>
      </c>
      <c r="Q50" s="8">
        <v>0.0</v>
      </c>
      <c r="R50" s="8">
        <v>0.0</v>
      </c>
      <c r="S50" s="12"/>
      <c r="T50" s="12"/>
      <c r="U50" s="12"/>
      <c r="V50" s="12"/>
      <c r="W50" s="9">
        <v>49.0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</row>
    <row r="51">
      <c r="A51" s="8"/>
      <c r="B51" s="9" t="s">
        <v>220</v>
      </c>
      <c r="C51" s="9">
        <v>56.0</v>
      </c>
      <c r="D51" s="9" t="s">
        <v>221</v>
      </c>
      <c r="E51" s="9">
        <v>104.0</v>
      </c>
      <c r="F51" s="9">
        <f t="shared" si="1"/>
        <v>120</v>
      </c>
      <c r="G51" s="9">
        <f t="shared" si="2"/>
        <v>136</v>
      </c>
      <c r="H51" s="9">
        <f t="shared" si="3"/>
        <v>152</v>
      </c>
      <c r="I51" s="9">
        <f t="shared" si="4"/>
        <v>168</v>
      </c>
      <c r="J51" s="9">
        <f t="shared" si="5"/>
        <v>184</v>
      </c>
      <c r="K51" s="8"/>
      <c r="L51" s="8">
        <v>49.0</v>
      </c>
      <c r="M51" s="13" t="s">
        <v>1435</v>
      </c>
      <c r="N51" s="13" t="s">
        <v>1436</v>
      </c>
      <c r="O51" s="13" t="s">
        <v>1437</v>
      </c>
      <c r="P51" s="13" t="s">
        <v>1438</v>
      </c>
      <c r="Q51" s="13" t="s">
        <v>1439</v>
      </c>
      <c r="R51" s="13" t="s">
        <v>1440</v>
      </c>
      <c r="S51" s="12"/>
      <c r="T51" s="12"/>
      <c r="U51" s="12"/>
      <c r="V51" s="12"/>
      <c r="W51" s="9">
        <v>50.0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</row>
    <row r="52">
      <c r="A52" s="8"/>
      <c r="B52" s="9" t="s">
        <v>222</v>
      </c>
      <c r="C52" s="9">
        <v>57.0</v>
      </c>
      <c r="D52" s="9" t="s">
        <v>223</v>
      </c>
      <c r="E52" s="9">
        <v>105.0</v>
      </c>
      <c r="F52" s="9">
        <f t="shared" si="1"/>
        <v>121</v>
      </c>
      <c r="G52" s="9">
        <f t="shared" si="2"/>
        <v>137</v>
      </c>
      <c r="H52" s="9">
        <f t="shared" si="3"/>
        <v>153</v>
      </c>
      <c r="I52" s="9">
        <f t="shared" si="4"/>
        <v>169</v>
      </c>
      <c r="J52" s="9">
        <f t="shared" si="5"/>
        <v>185</v>
      </c>
      <c r="K52" s="8"/>
      <c r="L52" s="8">
        <v>50.0</v>
      </c>
      <c r="M52" s="13" t="s">
        <v>1441</v>
      </c>
      <c r="N52" s="13" t="s">
        <v>1442</v>
      </c>
      <c r="O52" s="13" t="s">
        <v>1443</v>
      </c>
      <c r="P52" s="13" t="s">
        <v>1444</v>
      </c>
      <c r="Q52" s="13" t="s">
        <v>1445</v>
      </c>
      <c r="R52" s="13" t="s">
        <v>1446</v>
      </c>
      <c r="S52" s="12"/>
      <c r="T52" s="12"/>
      <c r="U52" s="12"/>
      <c r="V52" s="12"/>
      <c r="W52" s="9">
        <v>51.0</v>
      </c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</row>
    <row r="53">
      <c r="A53" s="8"/>
      <c r="B53" s="9" t="s">
        <v>224</v>
      </c>
      <c r="C53" s="9">
        <v>58.0</v>
      </c>
      <c r="D53" s="9" t="s">
        <v>225</v>
      </c>
      <c r="E53" s="9">
        <v>106.0</v>
      </c>
      <c r="F53" s="9">
        <f t="shared" si="1"/>
        <v>122</v>
      </c>
      <c r="G53" s="9">
        <f t="shared" si="2"/>
        <v>138</v>
      </c>
      <c r="H53" s="9">
        <f t="shared" si="3"/>
        <v>154</v>
      </c>
      <c r="I53" s="9">
        <f t="shared" si="4"/>
        <v>170</v>
      </c>
      <c r="J53" s="9">
        <f t="shared" si="5"/>
        <v>186</v>
      </c>
      <c r="K53" s="8"/>
      <c r="L53" s="8">
        <v>51.0</v>
      </c>
      <c r="M53" s="13" t="s">
        <v>1447</v>
      </c>
      <c r="N53" s="13" t="s">
        <v>1448</v>
      </c>
      <c r="O53" s="13" t="s">
        <v>1449</v>
      </c>
      <c r="P53" s="13" t="s">
        <v>1450</v>
      </c>
      <c r="Q53" s="13" t="s">
        <v>1451</v>
      </c>
      <c r="R53" s="13" t="s">
        <v>1452</v>
      </c>
      <c r="S53" s="12"/>
      <c r="T53" s="12"/>
      <c r="U53" s="12"/>
      <c r="V53" s="12"/>
      <c r="W53" s="9">
        <v>52.0</v>
      </c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</row>
    <row r="54">
      <c r="A54" s="8"/>
      <c r="B54" s="9" t="s">
        <v>226</v>
      </c>
      <c r="C54" s="9">
        <v>59.0</v>
      </c>
      <c r="D54" s="9" t="s">
        <v>227</v>
      </c>
      <c r="E54" s="9">
        <v>107.0</v>
      </c>
      <c r="F54" s="9">
        <f t="shared" si="1"/>
        <v>123</v>
      </c>
      <c r="G54" s="9">
        <f t="shared" si="2"/>
        <v>139</v>
      </c>
      <c r="H54" s="9">
        <f t="shared" si="3"/>
        <v>155</v>
      </c>
      <c r="I54" s="9">
        <f t="shared" si="4"/>
        <v>171</v>
      </c>
      <c r="J54" s="9">
        <f t="shared" si="5"/>
        <v>187</v>
      </c>
      <c r="K54" s="8"/>
      <c r="L54" s="8">
        <v>52.0</v>
      </c>
      <c r="M54" s="13" t="s">
        <v>1453</v>
      </c>
      <c r="N54" s="13" t="s">
        <v>1454</v>
      </c>
      <c r="O54" s="13" t="s">
        <v>1455</v>
      </c>
      <c r="P54" s="13" t="s">
        <v>1456</v>
      </c>
      <c r="Q54" s="13" t="s">
        <v>1457</v>
      </c>
      <c r="R54" s="13" t="s">
        <v>1458</v>
      </c>
      <c r="S54" s="12"/>
      <c r="T54" s="12"/>
      <c r="U54" s="12"/>
      <c r="V54" s="12"/>
      <c r="W54" s="9">
        <v>53.0</v>
      </c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</row>
    <row r="55">
      <c r="A55" s="8"/>
      <c r="B55" s="9" t="s">
        <v>233</v>
      </c>
      <c r="C55" s="9">
        <v>60.0</v>
      </c>
      <c r="D55" s="9" t="s">
        <v>234</v>
      </c>
      <c r="E55" s="9">
        <v>108.0</v>
      </c>
      <c r="F55" s="9">
        <f t="shared" si="1"/>
        <v>124</v>
      </c>
      <c r="G55" s="9">
        <f t="shared" si="2"/>
        <v>140</v>
      </c>
      <c r="H55" s="9">
        <f t="shared" si="3"/>
        <v>156</v>
      </c>
      <c r="I55" s="9">
        <f t="shared" si="4"/>
        <v>172</v>
      </c>
      <c r="J55" s="9">
        <f t="shared" si="5"/>
        <v>188</v>
      </c>
      <c r="K55" s="8"/>
      <c r="L55" s="8">
        <v>53.0</v>
      </c>
      <c r="M55" s="13" t="s">
        <v>1459</v>
      </c>
      <c r="N55" s="13" t="s">
        <v>1460</v>
      </c>
      <c r="O55" s="13" t="s">
        <v>1461</v>
      </c>
      <c r="P55" s="13" t="s">
        <v>1462</v>
      </c>
      <c r="Q55" s="13" t="s">
        <v>1463</v>
      </c>
      <c r="R55" s="13" t="s">
        <v>1464</v>
      </c>
      <c r="S55" s="12"/>
      <c r="T55" s="12"/>
      <c r="U55" s="12"/>
      <c r="V55" s="12"/>
      <c r="W55" s="9">
        <v>54.0</v>
      </c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</row>
    <row r="56">
      <c r="A56" s="8"/>
      <c r="B56" s="9" t="s">
        <v>237</v>
      </c>
      <c r="C56" s="9">
        <f t="array" ref="C56:C67">SEQUENCE(12,1,C44+16)</f>
        <v>65</v>
      </c>
      <c r="D56" s="9" t="s">
        <v>238</v>
      </c>
      <c r="E56" s="9">
        <f t="array" ref="E56:E67">SEQUENCE(12,1,E44+32)</f>
        <v>129</v>
      </c>
      <c r="F56" s="9">
        <f t="shared" si="1"/>
        <v>145</v>
      </c>
      <c r="G56" s="9">
        <f t="shared" si="2"/>
        <v>161</v>
      </c>
      <c r="H56" s="9">
        <f t="shared" si="3"/>
        <v>177</v>
      </c>
      <c r="I56" s="9">
        <f t="shared" si="4"/>
        <v>193</v>
      </c>
      <c r="J56" s="9">
        <f t="shared" si="5"/>
        <v>209</v>
      </c>
      <c r="K56" s="8"/>
      <c r="L56" s="8">
        <v>54.0</v>
      </c>
      <c r="M56" s="13" t="s">
        <v>1465</v>
      </c>
      <c r="N56" s="13" t="s">
        <v>1466</v>
      </c>
      <c r="O56" s="13" t="s">
        <v>1467</v>
      </c>
      <c r="P56" s="13" t="s">
        <v>1468</v>
      </c>
      <c r="Q56" s="13" t="s">
        <v>1469</v>
      </c>
      <c r="R56" s="13" t="s">
        <v>1470</v>
      </c>
      <c r="S56" s="12"/>
      <c r="T56" s="12"/>
      <c r="U56" s="12"/>
      <c r="V56" s="12"/>
      <c r="W56" s="9">
        <v>55.0</v>
      </c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</row>
    <row r="57">
      <c r="A57" s="8"/>
      <c r="B57" s="9" t="s">
        <v>241</v>
      </c>
      <c r="C57" s="9">
        <v>66.0</v>
      </c>
      <c r="D57" s="9" t="s">
        <v>242</v>
      </c>
      <c r="E57" s="9">
        <v>130.0</v>
      </c>
      <c r="F57" s="9">
        <f t="shared" si="1"/>
        <v>146</v>
      </c>
      <c r="G57" s="9">
        <f t="shared" si="2"/>
        <v>162</v>
      </c>
      <c r="H57" s="9">
        <f t="shared" si="3"/>
        <v>178</v>
      </c>
      <c r="I57" s="9">
        <f t="shared" si="4"/>
        <v>194</v>
      </c>
      <c r="J57" s="9">
        <f t="shared" si="5"/>
        <v>210</v>
      </c>
      <c r="K57" s="8"/>
      <c r="L57" s="8">
        <v>55.0</v>
      </c>
      <c r="M57" s="13" t="s">
        <v>1471</v>
      </c>
      <c r="N57" s="13" t="s">
        <v>1472</v>
      </c>
      <c r="O57" s="13" t="s">
        <v>1473</v>
      </c>
      <c r="P57" s="13" t="s">
        <v>1474</v>
      </c>
      <c r="Q57" s="13" t="s">
        <v>1475</v>
      </c>
      <c r="R57" s="13" t="s">
        <v>1476</v>
      </c>
      <c r="S57" s="12"/>
      <c r="T57" s="12"/>
      <c r="U57" s="12"/>
      <c r="V57" s="12"/>
      <c r="W57" s="9">
        <v>56.0</v>
      </c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</row>
    <row r="58">
      <c r="A58" s="8"/>
      <c r="B58" s="9" t="s">
        <v>245</v>
      </c>
      <c r="C58" s="9">
        <v>67.0</v>
      </c>
      <c r="D58" s="9" t="s">
        <v>246</v>
      </c>
      <c r="E58" s="9">
        <v>131.0</v>
      </c>
      <c r="F58" s="9">
        <f t="shared" si="1"/>
        <v>147</v>
      </c>
      <c r="G58" s="9">
        <f t="shared" si="2"/>
        <v>163</v>
      </c>
      <c r="H58" s="9">
        <f t="shared" si="3"/>
        <v>179</v>
      </c>
      <c r="I58" s="9">
        <f t="shared" si="4"/>
        <v>195</v>
      </c>
      <c r="J58" s="9">
        <f t="shared" si="5"/>
        <v>211</v>
      </c>
      <c r="K58" s="8"/>
      <c r="L58" s="8">
        <v>56.0</v>
      </c>
      <c r="M58" s="13" t="s">
        <v>1477</v>
      </c>
      <c r="N58" s="13" t="s">
        <v>1478</v>
      </c>
      <c r="O58" s="13" t="s">
        <v>1479</v>
      </c>
      <c r="P58" s="13" t="s">
        <v>1480</v>
      </c>
      <c r="Q58" s="13" t="s">
        <v>1481</v>
      </c>
      <c r="R58" s="13" t="s">
        <v>1482</v>
      </c>
      <c r="S58" s="12"/>
      <c r="T58" s="12"/>
      <c r="U58" s="12"/>
      <c r="V58" s="12"/>
      <c r="W58" s="9">
        <v>57.0</v>
      </c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</row>
    <row r="59">
      <c r="A59" s="8"/>
      <c r="B59" s="9" t="s">
        <v>249</v>
      </c>
      <c r="C59" s="9">
        <v>68.0</v>
      </c>
      <c r="D59" s="9" t="s">
        <v>250</v>
      </c>
      <c r="E59" s="9">
        <v>132.0</v>
      </c>
      <c r="F59" s="9">
        <f t="shared" si="1"/>
        <v>148</v>
      </c>
      <c r="G59" s="9">
        <f t="shared" si="2"/>
        <v>164</v>
      </c>
      <c r="H59" s="9">
        <f t="shared" si="3"/>
        <v>180</v>
      </c>
      <c r="I59" s="9">
        <f t="shared" si="4"/>
        <v>196</v>
      </c>
      <c r="J59" s="9">
        <f t="shared" si="5"/>
        <v>212</v>
      </c>
      <c r="K59" s="8"/>
      <c r="L59" s="8">
        <v>57.0</v>
      </c>
      <c r="M59" s="13" t="s">
        <v>1483</v>
      </c>
      <c r="N59" s="13" t="s">
        <v>1484</v>
      </c>
      <c r="O59" s="13" t="s">
        <v>1485</v>
      </c>
      <c r="P59" s="13" t="s">
        <v>1486</v>
      </c>
      <c r="Q59" s="13" t="s">
        <v>1487</v>
      </c>
      <c r="R59" s="13" t="s">
        <v>1488</v>
      </c>
      <c r="S59" s="12"/>
      <c r="T59" s="12"/>
      <c r="U59" s="12"/>
      <c r="V59" s="12"/>
      <c r="W59" s="9">
        <v>58.0</v>
      </c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</row>
    <row r="60">
      <c r="A60" s="8"/>
      <c r="B60" s="9" t="s">
        <v>253</v>
      </c>
      <c r="C60" s="9">
        <v>69.0</v>
      </c>
      <c r="D60" s="9" t="s">
        <v>254</v>
      </c>
      <c r="E60" s="9">
        <v>133.0</v>
      </c>
      <c r="F60" s="9">
        <f t="shared" si="1"/>
        <v>149</v>
      </c>
      <c r="G60" s="9">
        <f t="shared" si="2"/>
        <v>165</v>
      </c>
      <c r="H60" s="9">
        <f t="shared" si="3"/>
        <v>181</v>
      </c>
      <c r="I60" s="9">
        <f t="shared" si="4"/>
        <v>197</v>
      </c>
      <c r="J60" s="9">
        <f t="shared" si="5"/>
        <v>213</v>
      </c>
      <c r="K60" s="8"/>
      <c r="L60" s="8">
        <v>58.0</v>
      </c>
      <c r="M60" s="13" t="s">
        <v>1489</v>
      </c>
      <c r="N60" s="13" t="s">
        <v>1490</v>
      </c>
      <c r="O60" s="13" t="s">
        <v>1491</v>
      </c>
      <c r="P60" s="13" t="s">
        <v>1492</v>
      </c>
      <c r="Q60" s="13" t="s">
        <v>1493</v>
      </c>
      <c r="R60" s="13" t="s">
        <v>1494</v>
      </c>
      <c r="S60" s="12"/>
      <c r="T60" s="12"/>
      <c r="U60" s="12"/>
      <c r="V60" s="12"/>
      <c r="W60" s="9">
        <v>59.0</v>
      </c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</row>
    <row r="61">
      <c r="A61" s="8"/>
      <c r="B61" s="9" t="s">
        <v>257</v>
      </c>
      <c r="C61" s="9">
        <v>70.0</v>
      </c>
      <c r="D61" s="9" t="s">
        <v>258</v>
      </c>
      <c r="E61" s="9">
        <v>134.0</v>
      </c>
      <c r="F61" s="9">
        <f t="shared" si="1"/>
        <v>150</v>
      </c>
      <c r="G61" s="9">
        <f t="shared" si="2"/>
        <v>166</v>
      </c>
      <c r="H61" s="9">
        <f t="shared" si="3"/>
        <v>182</v>
      </c>
      <c r="I61" s="9">
        <f t="shared" si="4"/>
        <v>198</v>
      </c>
      <c r="J61" s="9">
        <f t="shared" si="5"/>
        <v>214</v>
      </c>
      <c r="K61" s="8"/>
      <c r="L61" s="8">
        <v>59.0</v>
      </c>
      <c r="M61" s="13" t="s">
        <v>1495</v>
      </c>
      <c r="N61" s="13" t="s">
        <v>1496</v>
      </c>
      <c r="O61" s="13" t="s">
        <v>1497</v>
      </c>
      <c r="P61" s="13" t="s">
        <v>1498</v>
      </c>
      <c r="Q61" s="13" t="s">
        <v>1499</v>
      </c>
      <c r="R61" s="13" t="s">
        <v>1500</v>
      </c>
      <c r="S61" s="12"/>
      <c r="T61" s="12"/>
      <c r="U61" s="12"/>
      <c r="V61" s="12"/>
      <c r="W61" s="9">
        <v>60.0</v>
      </c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</row>
    <row r="62">
      <c r="A62" s="8"/>
      <c r="B62" s="9" t="s">
        <v>261</v>
      </c>
      <c r="C62" s="9">
        <v>71.0</v>
      </c>
      <c r="D62" s="9" t="s">
        <v>262</v>
      </c>
      <c r="E62" s="9">
        <v>135.0</v>
      </c>
      <c r="F62" s="9">
        <f t="shared" si="1"/>
        <v>151</v>
      </c>
      <c r="G62" s="9">
        <f t="shared" si="2"/>
        <v>167</v>
      </c>
      <c r="H62" s="9">
        <f t="shared" si="3"/>
        <v>183</v>
      </c>
      <c r="I62" s="9">
        <f t="shared" si="4"/>
        <v>199</v>
      </c>
      <c r="J62" s="9">
        <f t="shared" si="5"/>
        <v>215</v>
      </c>
      <c r="K62" s="8"/>
      <c r="L62" s="8">
        <v>60.0</v>
      </c>
      <c r="M62" s="13" t="s">
        <v>1501</v>
      </c>
      <c r="N62" s="13" t="s">
        <v>1502</v>
      </c>
      <c r="O62" s="13" t="s">
        <v>1503</v>
      </c>
      <c r="P62" s="13" t="s">
        <v>1504</v>
      </c>
      <c r="Q62" s="13" t="s">
        <v>1505</v>
      </c>
      <c r="R62" s="13" t="s">
        <v>1506</v>
      </c>
      <c r="S62" s="12"/>
      <c r="T62" s="12"/>
      <c r="U62" s="12"/>
      <c r="V62" s="12"/>
      <c r="W62" s="9">
        <v>61.0</v>
      </c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</row>
    <row r="63">
      <c r="A63" s="8"/>
      <c r="B63" s="9" t="s">
        <v>265</v>
      </c>
      <c r="C63" s="9">
        <v>72.0</v>
      </c>
      <c r="D63" s="9" t="s">
        <v>266</v>
      </c>
      <c r="E63" s="9">
        <v>136.0</v>
      </c>
      <c r="F63" s="9">
        <f t="shared" si="1"/>
        <v>152</v>
      </c>
      <c r="G63" s="9">
        <f t="shared" si="2"/>
        <v>168</v>
      </c>
      <c r="H63" s="9">
        <f t="shared" si="3"/>
        <v>184</v>
      </c>
      <c r="I63" s="9">
        <f t="shared" si="4"/>
        <v>200</v>
      </c>
      <c r="J63" s="9">
        <f t="shared" si="5"/>
        <v>216</v>
      </c>
      <c r="K63" s="8"/>
      <c r="L63" s="8">
        <v>61.0</v>
      </c>
      <c r="M63" s="8">
        <v>0.0</v>
      </c>
      <c r="N63" s="8">
        <v>0.0</v>
      </c>
      <c r="O63" s="8">
        <v>0.0</v>
      </c>
      <c r="P63" s="8">
        <v>0.0</v>
      </c>
      <c r="Q63" s="8">
        <v>0.0</v>
      </c>
      <c r="R63" s="8">
        <v>0.0</v>
      </c>
      <c r="S63" s="12"/>
      <c r="T63" s="12"/>
      <c r="U63" s="12"/>
      <c r="V63" s="12"/>
      <c r="W63" s="9">
        <v>62.0</v>
      </c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</row>
    <row r="64">
      <c r="A64" s="8"/>
      <c r="B64" s="9" t="s">
        <v>269</v>
      </c>
      <c r="C64" s="9">
        <v>73.0</v>
      </c>
      <c r="D64" s="9" t="s">
        <v>270</v>
      </c>
      <c r="E64" s="9">
        <v>137.0</v>
      </c>
      <c r="F64" s="9">
        <f t="shared" si="1"/>
        <v>153</v>
      </c>
      <c r="G64" s="9">
        <f t="shared" si="2"/>
        <v>169</v>
      </c>
      <c r="H64" s="9">
        <f t="shared" si="3"/>
        <v>185</v>
      </c>
      <c r="I64" s="9">
        <f t="shared" si="4"/>
        <v>201</v>
      </c>
      <c r="J64" s="9">
        <f t="shared" si="5"/>
        <v>217</v>
      </c>
      <c r="K64" s="8"/>
      <c r="L64" s="8">
        <v>62.0</v>
      </c>
      <c r="M64" s="8">
        <v>0.0</v>
      </c>
      <c r="N64" s="8">
        <v>0.0</v>
      </c>
      <c r="O64" s="8">
        <v>0.0</v>
      </c>
      <c r="P64" s="8">
        <v>0.0</v>
      </c>
      <c r="Q64" s="8">
        <v>0.0</v>
      </c>
      <c r="R64" s="8">
        <v>0.0</v>
      </c>
      <c r="S64" s="12"/>
      <c r="T64" s="12"/>
      <c r="U64" s="12"/>
      <c r="V64" s="12"/>
      <c r="W64" s="9">
        <v>63.0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</row>
    <row r="65">
      <c r="A65" s="8"/>
      <c r="B65" s="9" t="s">
        <v>273</v>
      </c>
      <c r="C65" s="9">
        <v>74.0</v>
      </c>
      <c r="D65" s="9" t="s">
        <v>274</v>
      </c>
      <c r="E65" s="9">
        <v>138.0</v>
      </c>
      <c r="F65" s="9">
        <f t="shared" si="1"/>
        <v>154</v>
      </c>
      <c r="G65" s="9">
        <f t="shared" si="2"/>
        <v>170</v>
      </c>
      <c r="H65" s="9">
        <f t="shared" si="3"/>
        <v>186</v>
      </c>
      <c r="I65" s="9">
        <f t="shared" si="4"/>
        <v>202</v>
      </c>
      <c r="J65" s="9">
        <f t="shared" si="5"/>
        <v>218</v>
      </c>
      <c r="K65" s="8"/>
      <c r="L65" s="8">
        <v>63.0</v>
      </c>
      <c r="M65" s="8">
        <v>0.0</v>
      </c>
      <c r="N65" s="8">
        <v>0.0</v>
      </c>
      <c r="O65" s="8">
        <v>0.0</v>
      </c>
      <c r="P65" s="8">
        <v>0.0</v>
      </c>
      <c r="Q65" s="8">
        <v>0.0</v>
      </c>
      <c r="R65" s="8">
        <v>0.0</v>
      </c>
      <c r="S65" s="12"/>
      <c r="T65" s="12"/>
      <c r="U65" s="12"/>
      <c r="V65" s="12"/>
      <c r="W65" s="9">
        <v>64.0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</row>
    <row r="66">
      <c r="A66" s="8"/>
      <c r="B66" s="9" t="s">
        <v>277</v>
      </c>
      <c r="C66" s="9">
        <v>75.0</v>
      </c>
      <c r="D66" s="9" t="s">
        <v>278</v>
      </c>
      <c r="E66" s="9">
        <v>139.0</v>
      </c>
      <c r="F66" s="9">
        <f t="shared" si="1"/>
        <v>155</v>
      </c>
      <c r="G66" s="9">
        <f t="shared" si="2"/>
        <v>171</v>
      </c>
      <c r="H66" s="9">
        <f t="shared" si="3"/>
        <v>187</v>
      </c>
      <c r="I66" s="9">
        <f t="shared" si="4"/>
        <v>203</v>
      </c>
      <c r="J66" s="9">
        <f t="shared" si="5"/>
        <v>219</v>
      </c>
      <c r="K66" s="8"/>
      <c r="L66" s="8">
        <v>64.0</v>
      </c>
      <c r="M66" s="8">
        <v>0.0</v>
      </c>
      <c r="N66" s="8">
        <v>0.0</v>
      </c>
      <c r="O66" s="8">
        <v>0.0</v>
      </c>
      <c r="P66" s="8">
        <v>0.0</v>
      </c>
      <c r="Q66" s="8">
        <v>0.0</v>
      </c>
      <c r="R66" s="8">
        <v>0.0</v>
      </c>
      <c r="S66" s="12"/>
      <c r="T66" s="12"/>
      <c r="U66" s="12"/>
      <c r="V66" s="12"/>
      <c r="W66" s="9">
        <v>65.0</v>
      </c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</row>
    <row r="67">
      <c r="A67" s="8"/>
      <c r="B67" s="9" t="s">
        <v>279</v>
      </c>
      <c r="C67" s="9">
        <v>76.0</v>
      </c>
      <c r="D67" s="9" t="s">
        <v>280</v>
      </c>
      <c r="E67" s="9">
        <v>140.0</v>
      </c>
      <c r="F67" s="9">
        <f t="shared" si="1"/>
        <v>156</v>
      </c>
      <c r="G67" s="9">
        <f t="shared" si="2"/>
        <v>172</v>
      </c>
      <c r="H67" s="9">
        <f t="shared" si="3"/>
        <v>188</v>
      </c>
      <c r="I67" s="9">
        <f t="shared" si="4"/>
        <v>204</v>
      </c>
      <c r="J67" s="9">
        <f t="shared" si="5"/>
        <v>220</v>
      </c>
      <c r="K67" s="8"/>
      <c r="L67" s="8">
        <v>65.0</v>
      </c>
      <c r="M67" s="13" t="s">
        <v>1507</v>
      </c>
      <c r="N67" s="13" t="s">
        <v>1508</v>
      </c>
      <c r="O67" s="13" t="s">
        <v>1509</v>
      </c>
      <c r="P67" s="13" t="s">
        <v>1510</v>
      </c>
      <c r="Q67" s="13" t="s">
        <v>1511</v>
      </c>
      <c r="R67" s="13" t="s">
        <v>1512</v>
      </c>
      <c r="S67" s="12"/>
      <c r="T67" s="12"/>
      <c r="U67" s="12"/>
      <c r="V67" s="12"/>
      <c r="W67" s="9">
        <v>66.0</v>
      </c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</row>
    <row r="68">
      <c r="A68" s="8"/>
      <c r="B68" s="9" t="s">
        <v>281</v>
      </c>
      <c r="C68" s="9">
        <f t="array" ref="C68:C79">SEQUENCE(12,1,C56+16)</f>
        <v>81</v>
      </c>
      <c r="D68" s="9" t="s">
        <v>282</v>
      </c>
      <c r="E68" s="9">
        <f t="array" ref="E68:E79">SEQUENCE(12,1,E56+32)</f>
        <v>161</v>
      </c>
      <c r="F68" s="9">
        <f t="shared" si="1"/>
        <v>177</v>
      </c>
      <c r="G68" s="9">
        <f t="shared" si="2"/>
        <v>193</v>
      </c>
      <c r="H68" s="9">
        <f t="shared" si="3"/>
        <v>209</v>
      </c>
      <c r="I68" s="9">
        <f t="shared" si="4"/>
        <v>225</v>
      </c>
      <c r="J68" s="9">
        <f t="shared" si="5"/>
        <v>241</v>
      </c>
      <c r="K68" s="8"/>
      <c r="L68" s="8">
        <v>66.0</v>
      </c>
      <c r="M68" s="13" t="s">
        <v>1513</v>
      </c>
      <c r="N68" s="13" t="s">
        <v>1514</v>
      </c>
      <c r="O68" s="13" t="s">
        <v>1515</v>
      </c>
      <c r="P68" s="13" t="s">
        <v>1516</v>
      </c>
      <c r="Q68" s="13" t="s">
        <v>1517</v>
      </c>
      <c r="R68" s="13" t="s">
        <v>1518</v>
      </c>
      <c r="S68" s="12"/>
      <c r="T68" s="12"/>
      <c r="U68" s="12"/>
      <c r="V68" s="12"/>
      <c r="W68" s="9">
        <v>67.0</v>
      </c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</row>
    <row r="69">
      <c r="A69" s="8"/>
      <c r="B69" s="9" t="s">
        <v>283</v>
      </c>
      <c r="C69" s="9">
        <v>82.0</v>
      </c>
      <c r="D69" s="9" t="s">
        <v>284</v>
      </c>
      <c r="E69" s="9">
        <v>162.0</v>
      </c>
      <c r="F69" s="9">
        <f t="shared" si="1"/>
        <v>178</v>
      </c>
      <c r="G69" s="9">
        <f t="shared" si="2"/>
        <v>194</v>
      </c>
      <c r="H69" s="9">
        <f t="shared" si="3"/>
        <v>210</v>
      </c>
      <c r="I69" s="9">
        <f t="shared" si="4"/>
        <v>226</v>
      </c>
      <c r="J69" s="9">
        <f t="shared" si="5"/>
        <v>242</v>
      </c>
      <c r="K69" s="8"/>
      <c r="L69" s="8">
        <v>67.0</v>
      </c>
      <c r="M69" s="13" t="s">
        <v>1519</v>
      </c>
      <c r="N69" s="13" t="s">
        <v>1520</v>
      </c>
      <c r="O69" s="13" t="s">
        <v>1521</v>
      </c>
      <c r="P69" s="13" t="s">
        <v>1522</v>
      </c>
      <c r="Q69" s="13" t="s">
        <v>1523</v>
      </c>
      <c r="R69" s="13" t="s">
        <v>1524</v>
      </c>
      <c r="S69" s="12"/>
      <c r="T69" s="12"/>
      <c r="U69" s="12"/>
      <c r="V69" s="12"/>
      <c r="W69" s="9">
        <v>68.0</v>
      </c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</row>
    <row r="70">
      <c r="A70" s="8"/>
      <c r="B70" s="9" t="s">
        <v>286</v>
      </c>
      <c r="C70" s="9">
        <v>83.0</v>
      </c>
      <c r="D70" s="9" t="s">
        <v>287</v>
      </c>
      <c r="E70" s="9">
        <v>163.0</v>
      </c>
      <c r="F70" s="9">
        <f t="shared" si="1"/>
        <v>179</v>
      </c>
      <c r="G70" s="9">
        <f t="shared" si="2"/>
        <v>195</v>
      </c>
      <c r="H70" s="9">
        <f t="shared" si="3"/>
        <v>211</v>
      </c>
      <c r="I70" s="9">
        <f t="shared" si="4"/>
        <v>227</v>
      </c>
      <c r="J70" s="9">
        <f t="shared" si="5"/>
        <v>243</v>
      </c>
      <c r="K70" s="8"/>
      <c r="L70" s="8">
        <v>68.0</v>
      </c>
      <c r="M70" s="13" t="s">
        <v>1525</v>
      </c>
      <c r="N70" s="13" t="s">
        <v>1526</v>
      </c>
      <c r="O70" s="13" t="s">
        <v>1527</v>
      </c>
      <c r="P70" s="13" t="s">
        <v>1528</v>
      </c>
      <c r="Q70" s="13" t="s">
        <v>1529</v>
      </c>
      <c r="R70" s="13" t="s">
        <v>1530</v>
      </c>
      <c r="S70" s="12"/>
      <c r="T70" s="12"/>
      <c r="U70" s="12"/>
      <c r="V70" s="12"/>
      <c r="W70" s="9">
        <v>69.0</v>
      </c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</row>
    <row r="71">
      <c r="A71" s="8"/>
      <c r="B71" s="9" t="s">
        <v>293</v>
      </c>
      <c r="C71" s="9">
        <v>84.0</v>
      </c>
      <c r="D71" s="9" t="s">
        <v>294</v>
      </c>
      <c r="E71" s="9">
        <v>164.0</v>
      </c>
      <c r="F71" s="9">
        <f t="shared" si="1"/>
        <v>180</v>
      </c>
      <c r="G71" s="9">
        <f t="shared" si="2"/>
        <v>196</v>
      </c>
      <c r="H71" s="9">
        <f t="shared" si="3"/>
        <v>212</v>
      </c>
      <c r="I71" s="9">
        <f t="shared" si="4"/>
        <v>228</v>
      </c>
      <c r="J71" s="9">
        <f t="shared" si="5"/>
        <v>244</v>
      </c>
      <c r="K71" s="8"/>
      <c r="L71" s="8">
        <v>69.0</v>
      </c>
      <c r="M71" s="13" t="s">
        <v>1531</v>
      </c>
      <c r="N71" s="13" t="s">
        <v>1532</v>
      </c>
      <c r="O71" s="13" t="s">
        <v>1533</v>
      </c>
      <c r="P71" s="13" t="s">
        <v>1534</v>
      </c>
      <c r="Q71" s="13" t="s">
        <v>1535</v>
      </c>
      <c r="R71" s="13" t="s">
        <v>1536</v>
      </c>
      <c r="S71" s="12"/>
      <c r="T71" s="12"/>
      <c r="U71" s="12"/>
      <c r="V71" s="12"/>
      <c r="W71" s="9">
        <v>70.0</v>
      </c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</row>
    <row r="72">
      <c r="A72" s="8"/>
      <c r="B72" s="9" t="s">
        <v>297</v>
      </c>
      <c r="C72" s="9">
        <v>85.0</v>
      </c>
      <c r="D72" s="9" t="s">
        <v>298</v>
      </c>
      <c r="E72" s="9">
        <v>165.0</v>
      </c>
      <c r="F72" s="9">
        <f t="shared" si="1"/>
        <v>181</v>
      </c>
      <c r="G72" s="9">
        <f t="shared" si="2"/>
        <v>197</v>
      </c>
      <c r="H72" s="9">
        <f t="shared" si="3"/>
        <v>213</v>
      </c>
      <c r="I72" s="9">
        <f t="shared" si="4"/>
        <v>229</v>
      </c>
      <c r="J72" s="9">
        <f t="shared" si="5"/>
        <v>245</v>
      </c>
      <c r="K72" s="8"/>
      <c r="L72" s="8">
        <v>70.0</v>
      </c>
      <c r="M72" s="13" t="s">
        <v>1537</v>
      </c>
      <c r="N72" s="13" t="s">
        <v>1538</v>
      </c>
      <c r="O72" s="13" t="s">
        <v>1539</v>
      </c>
      <c r="P72" s="13" t="s">
        <v>1540</v>
      </c>
      <c r="Q72" s="13" t="s">
        <v>1541</v>
      </c>
      <c r="R72" s="13" t="s">
        <v>1542</v>
      </c>
      <c r="S72" s="12"/>
      <c r="T72" s="12"/>
      <c r="U72" s="12"/>
      <c r="V72" s="12"/>
      <c r="W72" s="9">
        <v>71.0</v>
      </c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</row>
    <row r="73">
      <c r="A73" s="8"/>
      <c r="B73" s="9" t="s">
        <v>301</v>
      </c>
      <c r="C73" s="9">
        <v>86.0</v>
      </c>
      <c r="D73" s="9" t="s">
        <v>302</v>
      </c>
      <c r="E73" s="9">
        <v>166.0</v>
      </c>
      <c r="F73" s="9">
        <f t="shared" si="1"/>
        <v>182</v>
      </c>
      <c r="G73" s="9">
        <f t="shared" si="2"/>
        <v>198</v>
      </c>
      <c r="H73" s="9">
        <f t="shared" si="3"/>
        <v>214</v>
      </c>
      <c r="I73" s="9">
        <f t="shared" si="4"/>
        <v>230</v>
      </c>
      <c r="J73" s="9">
        <f t="shared" si="5"/>
        <v>246</v>
      </c>
      <c r="K73" s="8"/>
      <c r="L73" s="8">
        <v>71.0</v>
      </c>
      <c r="M73" s="13" t="s">
        <v>1543</v>
      </c>
      <c r="N73" s="13" t="s">
        <v>1544</v>
      </c>
      <c r="O73" s="13" t="s">
        <v>1545</v>
      </c>
      <c r="P73" s="13" t="s">
        <v>1546</v>
      </c>
      <c r="Q73" s="13" t="s">
        <v>1547</v>
      </c>
      <c r="R73" s="13" t="s">
        <v>1548</v>
      </c>
      <c r="S73" s="12"/>
      <c r="T73" s="12"/>
      <c r="U73" s="12"/>
      <c r="V73" s="12"/>
      <c r="W73" s="9">
        <v>72.0</v>
      </c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</row>
    <row r="74">
      <c r="A74" s="8"/>
      <c r="B74" s="9" t="s">
        <v>305</v>
      </c>
      <c r="C74" s="9">
        <v>87.0</v>
      </c>
      <c r="D74" s="9" t="s">
        <v>306</v>
      </c>
      <c r="E74" s="9">
        <v>167.0</v>
      </c>
      <c r="F74" s="9">
        <f t="shared" si="1"/>
        <v>183</v>
      </c>
      <c r="G74" s="9">
        <f t="shared" si="2"/>
        <v>199</v>
      </c>
      <c r="H74" s="9">
        <f t="shared" si="3"/>
        <v>215</v>
      </c>
      <c r="I74" s="9">
        <f t="shared" si="4"/>
        <v>231</v>
      </c>
      <c r="J74" s="9">
        <f t="shared" si="5"/>
        <v>247</v>
      </c>
      <c r="K74" s="8"/>
      <c r="L74" s="8">
        <v>72.0</v>
      </c>
      <c r="M74" s="13" t="s">
        <v>1549</v>
      </c>
      <c r="N74" s="13" t="s">
        <v>1550</v>
      </c>
      <c r="O74" s="13" t="s">
        <v>1551</v>
      </c>
      <c r="P74" s="13" t="s">
        <v>1552</v>
      </c>
      <c r="Q74" s="13" t="s">
        <v>1553</v>
      </c>
      <c r="R74" s="13" t="s">
        <v>1554</v>
      </c>
      <c r="S74" s="12"/>
      <c r="T74" s="12"/>
      <c r="U74" s="12"/>
      <c r="V74" s="12"/>
      <c r="W74" s="9">
        <v>73.0</v>
      </c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</row>
    <row r="75">
      <c r="A75" s="8"/>
      <c r="B75" s="9" t="s">
        <v>309</v>
      </c>
      <c r="C75" s="9">
        <v>88.0</v>
      </c>
      <c r="D75" s="9" t="s">
        <v>310</v>
      </c>
      <c r="E75" s="9">
        <v>168.0</v>
      </c>
      <c r="F75" s="9">
        <f t="shared" si="1"/>
        <v>184</v>
      </c>
      <c r="G75" s="9">
        <f t="shared" si="2"/>
        <v>200</v>
      </c>
      <c r="H75" s="9">
        <f t="shared" si="3"/>
        <v>216</v>
      </c>
      <c r="I75" s="9">
        <f t="shared" si="4"/>
        <v>232</v>
      </c>
      <c r="J75" s="9">
        <f t="shared" si="5"/>
        <v>248</v>
      </c>
      <c r="K75" s="8"/>
      <c r="L75" s="8">
        <v>73.0</v>
      </c>
      <c r="M75" s="13" t="s">
        <v>1555</v>
      </c>
      <c r="N75" s="13" t="s">
        <v>1556</v>
      </c>
      <c r="O75" s="13" t="s">
        <v>1557</v>
      </c>
      <c r="P75" s="13" t="s">
        <v>1558</v>
      </c>
      <c r="Q75" s="13" t="s">
        <v>1559</v>
      </c>
      <c r="R75" s="13" t="s">
        <v>1560</v>
      </c>
      <c r="S75" s="12"/>
      <c r="T75" s="12"/>
      <c r="U75" s="12"/>
      <c r="V75" s="12"/>
      <c r="W75" s="9">
        <v>74.0</v>
      </c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</row>
    <row r="76">
      <c r="A76" s="8"/>
      <c r="B76" s="9" t="s">
        <v>313</v>
      </c>
      <c r="C76" s="9">
        <v>89.0</v>
      </c>
      <c r="D76" s="9" t="s">
        <v>314</v>
      </c>
      <c r="E76" s="9">
        <v>169.0</v>
      </c>
      <c r="F76" s="9">
        <f t="shared" si="1"/>
        <v>185</v>
      </c>
      <c r="G76" s="9">
        <f t="shared" si="2"/>
        <v>201</v>
      </c>
      <c r="H76" s="9">
        <f t="shared" si="3"/>
        <v>217</v>
      </c>
      <c r="I76" s="9">
        <f t="shared" si="4"/>
        <v>233</v>
      </c>
      <c r="J76" s="9">
        <f t="shared" si="5"/>
        <v>249</v>
      </c>
      <c r="K76" s="8"/>
      <c r="L76" s="8">
        <v>74.0</v>
      </c>
      <c r="M76" s="13" t="s">
        <v>1561</v>
      </c>
      <c r="N76" s="13" t="s">
        <v>1562</v>
      </c>
      <c r="O76" s="13" t="s">
        <v>1563</v>
      </c>
      <c r="P76" s="13" t="s">
        <v>1564</v>
      </c>
      <c r="Q76" s="13" t="s">
        <v>1565</v>
      </c>
      <c r="R76" s="13" t="s">
        <v>1566</v>
      </c>
      <c r="S76" s="12"/>
      <c r="T76" s="12"/>
      <c r="U76" s="12"/>
      <c r="V76" s="12"/>
      <c r="W76" s="9">
        <v>75.0</v>
      </c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</row>
    <row r="77">
      <c r="A77" s="8"/>
      <c r="B77" s="9" t="s">
        <v>317</v>
      </c>
      <c r="C77" s="9">
        <v>90.0</v>
      </c>
      <c r="D77" s="9" t="s">
        <v>318</v>
      </c>
      <c r="E77" s="9">
        <v>170.0</v>
      </c>
      <c r="F77" s="9">
        <f t="shared" si="1"/>
        <v>186</v>
      </c>
      <c r="G77" s="9">
        <f t="shared" si="2"/>
        <v>202</v>
      </c>
      <c r="H77" s="9">
        <f t="shared" si="3"/>
        <v>218</v>
      </c>
      <c r="I77" s="9">
        <f t="shared" si="4"/>
        <v>234</v>
      </c>
      <c r="J77" s="9">
        <f t="shared" si="5"/>
        <v>250</v>
      </c>
      <c r="K77" s="8"/>
      <c r="L77" s="8">
        <v>75.0</v>
      </c>
      <c r="M77" s="13" t="s">
        <v>1567</v>
      </c>
      <c r="N77" s="13" t="s">
        <v>1568</v>
      </c>
      <c r="O77" s="13" t="s">
        <v>1569</v>
      </c>
      <c r="P77" s="13" t="s">
        <v>1570</v>
      </c>
      <c r="Q77" s="13" t="s">
        <v>1571</v>
      </c>
      <c r="R77" s="13" t="s">
        <v>1572</v>
      </c>
      <c r="S77" s="12"/>
      <c r="T77" s="12"/>
      <c r="U77" s="12"/>
      <c r="V77" s="12"/>
      <c r="W77" s="9">
        <v>76.0</v>
      </c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</row>
    <row r="78">
      <c r="A78" s="8"/>
      <c r="B78" s="9" t="s">
        <v>321</v>
      </c>
      <c r="C78" s="9">
        <v>91.0</v>
      </c>
      <c r="D78" s="9" t="s">
        <v>322</v>
      </c>
      <c r="E78" s="9">
        <v>171.0</v>
      </c>
      <c r="F78" s="9">
        <f t="shared" si="1"/>
        <v>187</v>
      </c>
      <c r="G78" s="9">
        <f t="shared" si="2"/>
        <v>203</v>
      </c>
      <c r="H78" s="9">
        <f t="shared" si="3"/>
        <v>219</v>
      </c>
      <c r="I78" s="9">
        <f t="shared" si="4"/>
        <v>235</v>
      </c>
      <c r="J78" s="9">
        <f t="shared" si="5"/>
        <v>251</v>
      </c>
      <c r="K78" s="8"/>
      <c r="L78" s="8">
        <v>76.0</v>
      </c>
      <c r="M78" s="13" t="s">
        <v>1573</v>
      </c>
      <c r="N78" s="13" t="s">
        <v>1574</v>
      </c>
      <c r="O78" s="13" t="s">
        <v>1575</v>
      </c>
      <c r="P78" s="13" t="s">
        <v>1576</v>
      </c>
      <c r="Q78" s="13" t="s">
        <v>1577</v>
      </c>
      <c r="R78" s="13" t="s">
        <v>1578</v>
      </c>
      <c r="S78" s="12"/>
      <c r="T78" s="12"/>
      <c r="U78" s="12"/>
      <c r="V78" s="12"/>
      <c r="W78" s="9">
        <v>77.0</v>
      </c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</row>
    <row r="79">
      <c r="A79" s="8"/>
      <c r="B79" s="9" t="s">
        <v>325</v>
      </c>
      <c r="C79" s="9">
        <v>92.0</v>
      </c>
      <c r="D79" s="9" t="s">
        <v>326</v>
      </c>
      <c r="E79" s="9">
        <v>172.0</v>
      </c>
      <c r="F79" s="9">
        <f t="shared" si="1"/>
        <v>188</v>
      </c>
      <c r="G79" s="9">
        <f t="shared" si="2"/>
        <v>204</v>
      </c>
      <c r="H79" s="9">
        <f t="shared" si="3"/>
        <v>220</v>
      </c>
      <c r="I79" s="9">
        <f t="shared" si="4"/>
        <v>236</v>
      </c>
      <c r="J79" s="9">
        <f t="shared" si="5"/>
        <v>252</v>
      </c>
      <c r="K79" s="8"/>
      <c r="L79" s="8">
        <v>77.0</v>
      </c>
      <c r="M79" s="8">
        <v>0.0</v>
      </c>
      <c r="N79" s="8">
        <v>0.0</v>
      </c>
      <c r="O79" s="8">
        <v>0.0</v>
      </c>
      <c r="P79" s="8">
        <v>0.0</v>
      </c>
      <c r="Q79" s="8">
        <v>0.0</v>
      </c>
      <c r="R79" s="8">
        <v>0.0</v>
      </c>
      <c r="S79" s="12"/>
      <c r="T79" s="12"/>
      <c r="U79" s="12"/>
      <c r="V79" s="12"/>
      <c r="W79" s="9">
        <v>78.0</v>
      </c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</row>
    <row r="80">
      <c r="A80" s="8"/>
      <c r="B80" s="9" t="s">
        <v>329</v>
      </c>
      <c r="C80" s="9">
        <f t="array" ref="C80:C91">SEQUENCE(12,1,C68+16)</f>
        <v>97</v>
      </c>
      <c r="D80" s="9" t="s">
        <v>330</v>
      </c>
      <c r="E80" s="9">
        <f t="array" ref="E80:E91">SEQUENCE(12,1,E68+32)</f>
        <v>193</v>
      </c>
      <c r="F80" s="9">
        <f t="shared" si="1"/>
        <v>209</v>
      </c>
      <c r="G80" s="9">
        <f t="shared" si="2"/>
        <v>225</v>
      </c>
      <c r="H80" s="9">
        <f t="shared" si="3"/>
        <v>241</v>
      </c>
      <c r="I80" s="9">
        <f t="shared" si="4"/>
        <v>257</v>
      </c>
      <c r="J80" s="9">
        <f t="shared" si="5"/>
        <v>273</v>
      </c>
      <c r="K80" s="8"/>
      <c r="L80" s="8">
        <v>78.0</v>
      </c>
      <c r="M80" s="8">
        <v>0.0</v>
      </c>
      <c r="N80" s="8">
        <v>0.0</v>
      </c>
      <c r="O80" s="8">
        <v>0.0</v>
      </c>
      <c r="P80" s="8">
        <v>0.0</v>
      </c>
      <c r="Q80" s="8">
        <v>0.0</v>
      </c>
      <c r="R80" s="8">
        <v>0.0</v>
      </c>
      <c r="S80" s="12"/>
      <c r="T80" s="12"/>
      <c r="U80" s="12"/>
      <c r="V80" s="12"/>
      <c r="W80" s="9">
        <v>79.0</v>
      </c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</row>
    <row r="81">
      <c r="A81" s="8"/>
      <c r="B81" s="9" t="s">
        <v>333</v>
      </c>
      <c r="C81" s="9">
        <v>98.0</v>
      </c>
      <c r="D81" s="9" t="s">
        <v>334</v>
      </c>
      <c r="E81" s="9">
        <v>194.0</v>
      </c>
      <c r="F81" s="9">
        <f t="shared" si="1"/>
        <v>210</v>
      </c>
      <c r="G81" s="9">
        <f t="shared" si="2"/>
        <v>226</v>
      </c>
      <c r="H81" s="9">
        <f t="shared" si="3"/>
        <v>242</v>
      </c>
      <c r="I81" s="9">
        <f t="shared" si="4"/>
        <v>258</v>
      </c>
      <c r="J81" s="9">
        <f t="shared" si="5"/>
        <v>274</v>
      </c>
      <c r="K81" s="8"/>
      <c r="L81" s="8">
        <v>79.0</v>
      </c>
      <c r="M81" s="8">
        <v>0.0</v>
      </c>
      <c r="N81" s="8">
        <v>0.0</v>
      </c>
      <c r="O81" s="8">
        <v>0.0</v>
      </c>
      <c r="P81" s="8">
        <v>0.0</v>
      </c>
      <c r="Q81" s="8">
        <v>0.0</v>
      </c>
      <c r="R81" s="8">
        <v>0.0</v>
      </c>
      <c r="S81" s="12"/>
      <c r="T81" s="12"/>
      <c r="U81" s="12"/>
      <c r="V81" s="12"/>
      <c r="W81" s="9">
        <v>80.0</v>
      </c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</row>
    <row r="82">
      <c r="A82" s="8"/>
      <c r="B82" s="9" t="s">
        <v>337</v>
      </c>
      <c r="C82" s="9">
        <v>99.0</v>
      </c>
      <c r="D82" s="9" t="s">
        <v>338</v>
      </c>
      <c r="E82" s="9">
        <v>195.0</v>
      </c>
      <c r="F82" s="9">
        <f t="shared" si="1"/>
        <v>211</v>
      </c>
      <c r="G82" s="9">
        <f t="shared" si="2"/>
        <v>227</v>
      </c>
      <c r="H82" s="9">
        <f t="shared" si="3"/>
        <v>243</v>
      </c>
      <c r="I82" s="9">
        <f t="shared" si="4"/>
        <v>259</v>
      </c>
      <c r="J82" s="9">
        <f t="shared" si="5"/>
        <v>275</v>
      </c>
      <c r="K82" s="8"/>
      <c r="L82" s="8">
        <v>80.0</v>
      </c>
      <c r="M82" s="8">
        <v>0.0</v>
      </c>
      <c r="N82" s="8">
        <v>0.0</v>
      </c>
      <c r="O82" s="8">
        <v>0.0</v>
      </c>
      <c r="P82" s="8">
        <v>0.0</v>
      </c>
      <c r="Q82" s="8">
        <v>0.0</v>
      </c>
      <c r="R82" s="8">
        <v>0.0</v>
      </c>
      <c r="S82" s="12"/>
      <c r="T82" s="12"/>
      <c r="U82" s="12"/>
      <c r="V82" s="12"/>
      <c r="W82" s="9">
        <v>81.0</v>
      </c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</row>
    <row r="83">
      <c r="A83" s="8"/>
      <c r="B83" s="9" t="s">
        <v>339</v>
      </c>
      <c r="C83" s="9">
        <v>100.0</v>
      </c>
      <c r="D83" s="9" t="s">
        <v>340</v>
      </c>
      <c r="E83" s="9">
        <v>196.0</v>
      </c>
      <c r="F83" s="9">
        <f t="shared" si="1"/>
        <v>212</v>
      </c>
      <c r="G83" s="9">
        <f t="shared" si="2"/>
        <v>228</v>
      </c>
      <c r="H83" s="9">
        <f t="shared" si="3"/>
        <v>244</v>
      </c>
      <c r="I83" s="9">
        <f t="shared" si="4"/>
        <v>260</v>
      </c>
      <c r="J83" s="9">
        <f t="shared" si="5"/>
        <v>276</v>
      </c>
      <c r="K83" s="8"/>
      <c r="L83" s="8">
        <v>81.0</v>
      </c>
      <c r="M83" s="13" t="s">
        <v>1579</v>
      </c>
      <c r="N83" s="13" t="s">
        <v>1580</v>
      </c>
      <c r="O83" s="13" t="s">
        <v>1581</v>
      </c>
      <c r="P83" s="13" t="s">
        <v>1582</v>
      </c>
      <c r="Q83" s="13" t="s">
        <v>1583</v>
      </c>
      <c r="R83" s="13" t="s">
        <v>1584</v>
      </c>
      <c r="S83" s="12"/>
      <c r="T83" s="12"/>
      <c r="U83" s="12"/>
      <c r="V83" s="12"/>
      <c r="W83" s="9">
        <v>82.0</v>
      </c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</row>
    <row r="84">
      <c r="A84" s="8"/>
      <c r="B84" s="9" t="s">
        <v>341</v>
      </c>
      <c r="C84" s="9">
        <v>101.0</v>
      </c>
      <c r="D84" s="9" t="s">
        <v>342</v>
      </c>
      <c r="E84" s="9">
        <v>197.0</v>
      </c>
      <c r="F84" s="9">
        <f t="shared" si="1"/>
        <v>213</v>
      </c>
      <c r="G84" s="9">
        <f t="shared" si="2"/>
        <v>229</v>
      </c>
      <c r="H84" s="9">
        <f t="shared" si="3"/>
        <v>245</v>
      </c>
      <c r="I84" s="9">
        <f t="shared" si="4"/>
        <v>261</v>
      </c>
      <c r="J84" s="9">
        <f t="shared" si="5"/>
        <v>277</v>
      </c>
      <c r="K84" s="8"/>
      <c r="L84" s="8">
        <v>82.0</v>
      </c>
      <c r="M84" s="13" t="s">
        <v>1585</v>
      </c>
      <c r="N84" s="13" t="s">
        <v>1586</v>
      </c>
      <c r="O84" s="13" t="s">
        <v>1587</v>
      </c>
      <c r="P84" s="13" t="s">
        <v>1588</v>
      </c>
      <c r="Q84" s="13" t="s">
        <v>1589</v>
      </c>
      <c r="R84" s="13" t="s">
        <v>1590</v>
      </c>
      <c r="S84" s="12"/>
      <c r="T84" s="12"/>
      <c r="U84" s="12"/>
      <c r="V84" s="12"/>
      <c r="W84" s="9">
        <v>83.0</v>
      </c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</row>
    <row r="85">
      <c r="A85" s="8"/>
      <c r="B85" s="9" t="s">
        <v>343</v>
      </c>
      <c r="C85" s="9">
        <v>102.0</v>
      </c>
      <c r="D85" s="9" t="s">
        <v>344</v>
      </c>
      <c r="E85" s="9">
        <v>198.0</v>
      </c>
      <c r="F85" s="9">
        <f t="shared" si="1"/>
        <v>214</v>
      </c>
      <c r="G85" s="9">
        <f t="shared" si="2"/>
        <v>230</v>
      </c>
      <c r="H85" s="9">
        <f t="shared" si="3"/>
        <v>246</v>
      </c>
      <c r="I85" s="9">
        <f t="shared" si="4"/>
        <v>262</v>
      </c>
      <c r="J85" s="9">
        <f t="shared" si="5"/>
        <v>278</v>
      </c>
      <c r="K85" s="8"/>
      <c r="L85" s="8">
        <v>83.0</v>
      </c>
      <c r="M85" s="13" t="s">
        <v>1591</v>
      </c>
      <c r="N85" s="13" t="s">
        <v>1592</v>
      </c>
      <c r="O85" s="13" t="s">
        <v>1593</v>
      </c>
      <c r="P85" s="13" t="s">
        <v>1594</v>
      </c>
      <c r="Q85" s="13" t="s">
        <v>1595</v>
      </c>
      <c r="R85" s="13" t="s">
        <v>1596</v>
      </c>
      <c r="S85" s="12"/>
      <c r="T85" s="12"/>
      <c r="U85" s="12"/>
      <c r="V85" s="12"/>
      <c r="W85" s="9">
        <v>84.0</v>
      </c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</row>
    <row r="86">
      <c r="A86" s="8"/>
      <c r="B86" s="9" t="s">
        <v>345</v>
      </c>
      <c r="C86" s="9">
        <v>103.0</v>
      </c>
      <c r="D86" s="9" t="s">
        <v>346</v>
      </c>
      <c r="E86" s="9">
        <v>199.0</v>
      </c>
      <c r="F86" s="9">
        <f t="shared" si="1"/>
        <v>215</v>
      </c>
      <c r="G86" s="9">
        <f t="shared" si="2"/>
        <v>231</v>
      </c>
      <c r="H86" s="9">
        <f t="shared" si="3"/>
        <v>247</v>
      </c>
      <c r="I86" s="9">
        <f t="shared" si="4"/>
        <v>263</v>
      </c>
      <c r="J86" s="9">
        <f t="shared" si="5"/>
        <v>279</v>
      </c>
      <c r="K86" s="8"/>
      <c r="L86" s="8">
        <v>84.0</v>
      </c>
      <c r="M86" s="13" t="s">
        <v>1597</v>
      </c>
      <c r="N86" s="13" t="s">
        <v>1598</v>
      </c>
      <c r="O86" s="13" t="s">
        <v>1599</v>
      </c>
      <c r="P86" s="13" t="s">
        <v>1600</v>
      </c>
      <c r="Q86" s="13" t="s">
        <v>1601</v>
      </c>
      <c r="R86" s="13" t="s">
        <v>1602</v>
      </c>
      <c r="S86" s="12"/>
      <c r="T86" s="12"/>
      <c r="U86" s="12"/>
      <c r="V86" s="12"/>
      <c r="W86" s="9">
        <v>85.0</v>
      </c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</row>
    <row r="87">
      <c r="A87" s="8"/>
      <c r="B87" s="9" t="s">
        <v>352</v>
      </c>
      <c r="C87" s="9">
        <v>104.0</v>
      </c>
      <c r="D87" s="9" t="s">
        <v>353</v>
      </c>
      <c r="E87" s="9">
        <v>200.0</v>
      </c>
      <c r="F87" s="9">
        <f t="shared" si="1"/>
        <v>216</v>
      </c>
      <c r="G87" s="9">
        <f t="shared" si="2"/>
        <v>232</v>
      </c>
      <c r="H87" s="9">
        <f t="shared" si="3"/>
        <v>248</v>
      </c>
      <c r="I87" s="9">
        <f t="shared" si="4"/>
        <v>264</v>
      </c>
      <c r="J87" s="9">
        <f t="shared" si="5"/>
        <v>280</v>
      </c>
      <c r="K87" s="8"/>
      <c r="L87" s="8">
        <v>85.0</v>
      </c>
      <c r="M87" s="13" t="s">
        <v>1603</v>
      </c>
      <c r="N87" s="13" t="s">
        <v>1604</v>
      </c>
      <c r="O87" s="13" t="s">
        <v>1605</v>
      </c>
      <c r="P87" s="13" t="s">
        <v>1606</v>
      </c>
      <c r="Q87" s="13" t="s">
        <v>1607</v>
      </c>
      <c r="R87" s="13" t="s">
        <v>1608</v>
      </c>
      <c r="S87" s="12"/>
      <c r="T87" s="12"/>
      <c r="U87" s="12"/>
      <c r="V87" s="12"/>
      <c r="W87" s="9">
        <v>86.0</v>
      </c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</row>
    <row r="88">
      <c r="A88" s="8"/>
      <c r="B88" s="9" t="s">
        <v>356</v>
      </c>
      <c r="C88" s="9">
        <v>105.0</v>
      </c>
      <c r="D88" s="9" t="s">
        <v>357</v>
      </c>
      <c r="E88" s="9">
        <v>201.0</v>
      </c>
      <c r="F88" s="9">
        <f t="shared" si="1"/>
        <v>217</v>
      </c>
      <c r="G88" s="9">
        <f t="shared" si="2"/>
        <v>233</v>
      </c>
      <c r="H88" s="9">
        <f t="shared" si="3"/>
        <v>249</v>
      </c>
      <c r="I88" s="9">
        <f t="shared" si="4"/>
        <v>265</v>
      </c>
      <c r="J88" s="9">
        <f t="shared" si="5"/>
        <v>281</v>
      </c>
      <c r="K88" s="8"/>
      <c r="L88" s="8">
        <v>86.0</v>
      </c>
      <c r="M88" s="13" t="s">
        <v>1609</v>
      </c>
      <c r="N88" s="13" t="s">
        <v>1610</v>
      </c>
      <c r="O88" s="13" t="s">
        <v>1611</v>
      </c>
      <c r="P88" s="13" t="s">
        <v>1612</v>
      </c>
      <c r="Q88" s="13" t="s">
        <v>1613</v>
      </c>
      <c r="R88" s="13" t="s">
        <v>1614</v>
      </c>
      <c r="S88" s="12"/>
      <c r="T88" s="12"/>
      <c r="U88" s="12"/>
      <c r="V88" s="12"/>
      <c r="W88" s="9">
        <v>87.0</v>
      </c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</row>
    <row r="89">
      <c r="A89" s="8"/>
      <c r="B89" s="9" t="s">
        <v>360</v>
      </c>
      <c r="C89" s="9">
        <v>106.0</v>
      </c>
      <c r="D89" s="9" t="s">
        <v>361</v>
      </c>
      <c r="E89" s="9">
        <v>202.0</v>
      </c>
      <c r="F89" s="9">
        <f t="shared" si="1"/>
        <v>218</v>
      </c>
      <c r="G89" s="9">
        <f t="shared" si="2"/>
        <v>234</v>
      </c>
      <c r="H89" s="9">
        <f t="shared" si="3"/>
        <v>250</v>
      </c>
      <c r="I89" s="9">
        <f t="shared" si="4"/>
        <v>266</v>
      </c>
      <c r="J89" s="9">
        <f t="shared" si="5"/>
        <v>282</v>
      </c>
      <c r="K89" s="8"/>
      <c r="L89" s="8">
        <v>87.0</v>
      </c>
      <c r="M89" s="13" t="s">
        <v>1615</v>
      </c>
      <c r="N89" s="13" t="s">
        <v>1616</v>
      </c>
      <c r="O89" s="13" t="s">
        <v>1617</v>
      </c>
      <c r="P89" s="13" t="s">
        <v>1618</v>
      </c>
      <c r="Q89" s="13" t="s">
        <v>1619</v>
      </c>
      <c r="R89" s="13" t="s">
        <v>1620</v>
      </c>
      <c r="S89" s="12"/>
      <c r="T89" s="12"/>
      <c r="U89" s="12"/>
      <c r="V89" s="12"/>
      <c r="W89" s="9">
        <v>88.0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</row>
    <row r="90">
      <c r="A90" s="8"/>
      <c r="B90" s="9" t="s">
        <v>364</v>
      </c>
      <c r="C90" s="9">
        <v>107.0</v>
      </c>
      <c r="D90" s="9" t="s">
        <v>365</v>
      </c>
      <c r="E90" s="9">
        <v>203.0</v>
      </c>
      <c r="F90" s="9">
        <f t="shared" si="1"/>
        <v>219</v>
      </c>
      <c r="G90" s="9">
        <f t="shared" si="2"/>
        <v>235</v>
      </c>
      <c r="H90" s="9">
        <f t="shared" si="3"/>
        <v>251</v>
      </c>
      <c r="I90" s="9">
        <f t="shared" si="4"/>
        <v>267</v>
      </c>
      <c r="J90" s="9">
        <f t="shared" si="5"/>
        <v>283</v>
      </c>
      <c r="K90" s="8"/>
      <c r="L90" s="8">
        <v>88.0</v>
      </c>
      <c r="M90" s="13" t="s">
        <v>1621</v>
      </c>
      <c r="N90" s="13" t="s">
        <v>1622</v>
      </c>
      <c r="O90" s="13" t="s">
        <v>1623</v>
      </c>
      <c r="P90" s="13" t="s">
        <v>1624</v>
      </c>
      <c r="Q90" s="13" t="s">
        <v>1625</v>
      </c>
      <c r="R90" s="13" t="s">
        <v>1626</v>
      </c>
      <c r="S90" s="12"/>
      <c r="T90" s="12"/>
      <c r="U90" s="12"/>
      <c r="V90" s="12"/>
      <c r="W90" s="9">
        <v>89.0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</row>
    <row r="91">
      <c r="A91" s="8"/>
      <c r="B91" s="9" t="s">
        <v>368</v>
      </c>
      <c r="C91" s="9">
        <v>108.0</v>
      </c>
      <c r="D91" s="9" t="s">
        <v>369</v>
      </c>
      <c r="E91" s="9">
        <v>204.0</v>
      </c>
      <c r="F91" s="9">
        <f t="shared" si="1"/>
        <v>220</v>
      </c>
      <c r="G91" s="9">
        <f t="shared" si="2"/>
        <v>236</v>
      </c>
      <c r="H91" s="9">
        <f t="shared" si="3"/>
        <v>252</v>
      </c>
      <c r="I91" s="9">
        <f t="shared" si="4"/>
        <v>268</v>
      </c>
      <c r="J91" s="9">
        <f t="shared" si="5"/>
        <v>284</v>
      </c>
      <c r="K91" s="8"/>
      <c r="L91" s="8">
        <v>89.0</v>
      </c>
      <c r="M91" s="13" t="s">
        <v>1627</v>
      </c>
      <c r="N91" s="13" t="s">
        <v>1628</v>
      </c>
      <c r="O91" s="13" t="s">
        <v>1629</v>
      </c>
      <c r="P91" s="13" t="s">
        <v>1630</v>
      </c>
      <c r="Q91" s="13" t="s">
        <v>1631</v>
      </c>
      <c r="R91" s="13" t="s">
        <v>1632</v>
      </c>
      <c r="S91" s="12"/>
      <c r="T91" s="12"/>
      <c r="U91" s="12"/>
      <c r="V91" s="12"/>
      <c r="W91" s="9">
        <v>90.0</v>
      </c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</row>
    <row r="92">
      <c r="A92" s="8"/>
      <c r="B92" s="9" t="s">
        <v>372</v>
      </c>
      <c r="C92" s="9">
        <f t="array" ref="C92:C103">SEQUENCE(12,1,C80+16)</f>
        <v>113</v>
      </c>
      <c r="D92" s="9" t="s">
        <v>373</v>
      </c>
      <c r="E92" s="9">
        <f t="array" ref="E92:E103">SEQUENCE(12,1,E80+32)</f>
        <v>225</v>
      </c>
      <c r="F92" s="9">
        <f t="shared" si="1"/>
        <v>241</v>
      </c>
      <c r="G92" s="9">
        <f t="shared" si="2"/>
        <v>257</v>
      </c>
      <c r="H92" s="9">
        <f t="shared" si="3"/>
        <v>273</v>
      </c>
      <c r="I92" s="9">
        <f t="shared" si="4"/>
        <v>289</v>
      </c>
      <c r="J92" s="9">
        <f t="shared" si="5"/>
        <v>305</v>
      </c>
      <c r="K92" s="8"/>
      <c r="L92" s="8">
        <v>90.0</v>
      </c>
      <c r="M92" s="13" t="s">
        <v>1633</v>
      </c>
      <c r="N92" s="13" t="s">
        <v>1634</v>
      </c>
      <c r="O92" s="13" t="s">
        <v>1635</v>
      </c>
      <c r="P92" s="13" t="s">
        <v>1636</v>
      </c>
      <c r="Q92" s="13" t="s">
        <v>1637</v>
      </c>
      <c r="R92" s="13" t="s">
        <v>1638</v>
      </c>
      <c r="S92" s="12"/>
      <c r="T92" s="12"/>
      <c r="U92" s="12"/>
      <c r="V92" s="12"/>
      <c r="W92" s="9">
        <v>91.0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</row>
    <row r="93">
      <c r="A93" s="8"/>
      <c r="B93" s="9" t="s">
        <v>376</v>
      </c>
      <c r="C93" s="9">
        <v>114.0</v>
      </c>
      <c r="D93" s="9" t="s">
        <v>377</v>
      </c>
      <c r="E93" s="9">
        <v>226.0</v>
      </c>
      <c r="F93" s="9">
        <f t="shared" si="1"/>
        <v>242</v>
      </c>
      <c r="G93" s="9">
        <f t="shared" si="2"/>
        <v>258</v>
      </c>
      <c r="H93" s="9">
        <f t="shared" si="3"/>
        <v>274</v>
      </c>
      <c r="I93" s="9">
        <f t="shared" si="4"/>
        <v>290</v>
      </c>
      <c r="J93" s="9">
        <f t="shared" si="5"/>
        <v>306</v>
      </c>
      <c r="K93" s="8"/>
      <c r="L93" s="8">
        <v>91.0</v>
      </c>
      <c r="M93" s="13" t="s">
        <v>1639</v>
      </c>
      <c r="N93" s="13" t="s">
        <v>1640</v>
      </c>
      <c r="O93" s="13" t="s">
        <v>1641</v>
      </c>
      <c r="P93" s="13" t="s">
        <v>1642</v>
      </c>
      <c r="Q93" s="13" t="s">
        <v>1643</v>
      </c>
      <c r="R93" s="13" t="s">
        <v>1644</v>
      </c>
      <c r="S93" s="12"/>
      <c r="T93" s="12"/>
      <c r="U93" s="12"/>
      <c r="V93" s="12"/>
      <c r="W93" s="9">
        <v>92.0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</row>
    <row r="94">
      <c r="A94" s="8"/>
      <c r="B94" s="9" t="s">
        <v>380</v>
      </c>
      <c r="C94" s="9">
        <v>115.0</v>
      </c>
      <c r="D94" s="9" t="s">
        <v>381</v>
      </c>
      <c r="E94" s="9">
        <v>227.0</v>
      </c>
      <c r="F94" s="9">
        <f t="shared" si="1"/>
        <v>243</v>
      </c>
      <c r="G94" s="9">
        <f t="shared" si="2"/>
        <v>259</v>
      </c>
      <c r="H94" s="9">
        <f t="shared" si="3"/>
        <v>275</v>
      </c>
      <c r="I94" s="9">
        <f t="shared" si="4"/>
        <v>291</v>
      </c>
      <c r="J94" s="9">
        <f t="shared" si="5"/>
        <v>307</v>
      </c>
      <c r="K94" s="8"/>
      <c r="L94" s="8">
        <v>92.0</v>
      </c>
      <c r="M94" s="13" t="s">
        <v>1645</v>
      </c>
      <c r="N94" s="13" t="s">
        <v>1646</v>
      </c>
      <c r="O94" s="13" t="s">
        <v>1647</v>
      </c>
      <c r="P94" s="13" t="s">
        <v>1648</v>
      </c>
      <c r="Q94" s="13" t="s">
        <v>1649</v>
      </c>
      <c r="R94" s="13" t="s">
        <v>1650</v>
      </c>
      <c r="S94" s="12"/>
      <c r="T94" s="12"/>
      <c r="U94" s="12"/>
      <c r="V94" s="12"/>
      <c r="W94" s="9">
        <v>93.0</v>
      </c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</row>
    <row r="95">
      <c r="A95" s="8"/>
      <c r="B95" s="9" t="s">
        <v>384</v>
      </c>
      <c r="C95" s="9">
        <v>116.0</v>
      </c>
      <c r="D95" s="9" t="s">
        <v>385</v>
      </c>
      <c r="E95" s="9">
        <v>228.0</v>
      </c>
      <c r="F95" s="9">
        <f t="shared" si="1"/>
        <v>244</v>
      </c>
      <c r="G95" s="9">
        <f t="shared" si="2"/>
        <v>260</v>
      </c>
      <c r="H95" s="9">
        <f t="shared" si="3"/>
        <v>276</v>
      </c>
      <c r="I95" s="9">
        <f t="shared" si="4"/>
        <v>292</v>
      </c>
      <c r="J95" s="9">
        <f t="shared" si="5"/>
        <v>308</v>
      </c>
      <c r="K95" s="8"/>
      <c r="L95" s="8">
        <v>93.0</v>
      </c>
      <c r="M95" s="8">
        <v>0.0</v>
      </c>
      <c r="N95" s="8">
        <v>0.0</v>
      </c>
      <c r="O95" s="8">
        <v>0.0</v>
      </c>
      <c r="P95" s="8">
        <v>0.0</v>
      </c>
      <c r="Q95" s="8">
        <v>0.0</v>
      </c>
      <c r="R95" s="8">
        <v>0.0</v>
      </c>
      <c r="S95" s="12"/>
      <c r="T95" s="12"/>
      <c r="U95" s="12"/>
      <c r="V95" s="12"/>
      <c r="W95" s="9">
        <v>94.0</v>
      </c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</row>
    <row r="96">
      <c r="A96" s="8"/>
      <c r="B96" s="9" t="s">
        <v>388</v>
      </c>
      <c r="C96" s="9">
        <v>117.0</v>
      </c>
      <c r="D96" s="9" t="s">
        <v>389</v>
      </c>
      <c r="E96" s="9">
        <v>229.0</v>
      </c>
      <c r="F96" s="9">
        <f t="shared" si="1"/>
        <v>245</v>
      </c>
      <c r="G96" s="9">
        <f t="shared" si="2"/>
        <v>261</v>
      </c>
      <c r="H96" s="9">
        <f t="shared" si="3"/>
        <v>277</v>
      </c>
      <c r="I96" s="9">
        <f t="shared" si="4"/>
        <v>293</v>
      </c>
      <c r="J96" s="9">
        <f t="shared" si="5"/>
        <v>309</v>
      </c>
      <c r="K96" s="8"/>
      <c r="L96" s="8">
        <v>94.0</v>
      </c>
      <c r="M96" s="8">
        <v>0.0</v>
      </c>
      <c r="N96" s="8">
        <v>0.0</v>
      </c>
      <c r="O96" s="8">
        <v>0.0</v>
      </c>
      <c r="P96" s="8">
        <v>0.0</v>
      </c>
      <c r="Q96" s="8">
        <v>0.0</v>
      </c>
      <c r="R96" s="8">
        <v>0.0</v>
      </c>
      <c r="S96" s="12"/>
      <c r="T96" s="12"/>
      <c r="U96" s="12"/>
      <c r="V96" s="12"/>
      <c r="W96" s="9">
        <v>95.0</v>
      </c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</row>
    <row r="97">
      <c r="A97" s="8"/>
      <c r="B97" s="9" t="s">
        <v>392</v>
      </c>
      <c r="C97" s="9">
        <v>118.0</v>
      </c>
      <c r="D97" s="9" t="s">
        <v>393</v>
      </c>
      <c r="E97" s="9">
        <v>230.0</v>
      </c>
      <c r="F97" s="9">
        <f t="shared" si="1"/>
        <v>246</v>
      </c>
      <c r="G97" s="9">
        <f t="shared" si="2"/>
        <v>262</v>
      </c>
      <c r="H97" s="9">
        <f t="shared" si="3"/>
        <v>278</v>
      </c>
      <c r="I97" s="9">
        <f t="shared" si="4"/>
        <v>294</v>
      </c>
      <c r="J97" s="9">
        <f t="shared" si="5"/>
        <v>310</v>
      </c>
      <c r="K97" s="8"/>
      <c r="L97" s="8">
        <v>95.0</v>
      </c>
      <c r="M97" s="8">
        <v>0.0</v>
      </c>
      <c r="N97" s="8">
        <v>0.0</v>
      </c>
      <c r="O97" s="8">
        <v>0.0</v>
      </c>
      <c r="P97" s="8">
        <v>0.0</v>
      </c>
      <c r="Q97" s="8">
        <v>0.0</v>
      </c>
      <c r="R97" s="8">
        <v>0.0</v>
      </c>
      <c r="S97" s="12"/>
      <c r="T97" s="12"/>
      <c r="U97" s="12"/>
      <c r="V97" s="12"/>
      <c r="W97" s="9">
        <v>96.0</v>
      </c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</row>
    <row r="98">
      <c r="A98" s="8"/>
      <c r="B98" s="9" t="s">
        <v>396</v>
      </c>
      <c r="C98" s="9">
        <v>119.0</v>
      </c>
      <c r="D98" s="9" t="s">
        <v>397</v>
      </c>
      <c r="E98" s="9">
        <v>231.0</v>
      </c>
      <c r="F98" s="9">
        <f t="shared" si="1"/>
        <v>247</v>
      </c>
      <c r="G98" s="9">
        <f t="shared" si="2"/>
        <v>263</v>
      </c>
      <c r="H98" s="9">
        <f t="shared" si="3"/>
        <v>279</v>
      </c>
      <c r="I98" s="9">
        <f t="shared" si="4"/>
        <v>295</v>
      </c>
      <c r="J98" s="9">
        <f t="shared" si="5"/>
        <v>311</v>
      </c>
      <c r="K98" s="8"/>
      <c r="L98" s="8">
        <v>96.0</v>
      </c>
      <c r="M98" s="8">
        <v>0.0</v>
      </c>
      <c r="N98" s="8">
        <v>0.0</v>
      </c>
      <c r="O98" s="8">
        <v>0.0</v>
      </c>
      <c r="P98" s="8">
        <v>0.0</v>
      </c>
      <c r="Q98" s="8">
        <v>0.0</v>
      </c>
      <c r="R98" s="8">
        <v>0.0</v>
      </c>
      <c r="S98" s="12"/>
      <c r="T98" s="12"/>
      <c r="U98" s="12"/>
      <c r="V98" s="12"/>
      <c r="W98" s="9">
        <v>97.0</v>
      </c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</row>
    <row r="99">
      <c r="A99" s="8"/>
      <c r="B99" s="9" t="s">
        <v>398</v>
      </c>
      <c r="C99" s="9">
        <v>120.0</v>
      </c>
      <c r="D99" s="9" t="s">
        <v>399</v>
      </c>
      <c r="E99" s="9">
        <v>232.0</v>
      </c>
      <c r="F99" s="9">
        <f t="shared" si="1"/>
        <v>248</v>
      </c>
      <c r="G99" s="9">
        <f t="shared" si="2"/>
        <v>264</v>
      </c>
      <c r="H99" s="9">
        <f t="shared" si="3"/>
        <v>280</v>
      </c>
      <c r="I99" s="9">
        <f t="shared" si="4"/>
        <v>296</v>
      </c>
      <c r="J99" s="9">
        <f t="shared" si="5"/>
        <v>312</v>
      </c>
      <c r="K99" s="8"/>
      <c r="L99" s="8">
        <v>97.0</v>
      </c>
      <c r="M99" s="13" t="s">
        <v>1651</v>
      </c>
      <c r="N99" s="13" t="s">
        <v>1652</v>
      </c>
      <c r="O99" s="13" t="s">
        <v>1653</v>
      </c>
      <c r="P99" s="13" t="s">
        <v>1654</v>
      </c>
      <c r="Q99" s="13" t="s">
        <v>1655</v>
      </c>
      <c r="R99" s="13" t="s">
        <v>1656</v>
      </c>
      <c r="S99" s="12"/>
      <c r="T99" s="12"/>
      <c r="U99" s="12"/>
      <c r="V99" s="12"/>
      <c r="W99" s="9">
        <v>98.0</v>
      </c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</row>
    <row r="100">
      <c r="A100" s="8"/>
      <c r="B100" s="9" t="s">
        <v>400</v>
      </c>
      <c r="C100" s="9">
        <v>121.0</v>
      </c>
      <c r="D100" s="9" t="s">
        <v>401</v>
      </c>
      <c r="E100" s="9">
        <v>233.0</v>
      </c>
      <c r="F100" s="9">
        <f t="shared" si="1"/>
        <v>249</v>
      </c>
      <c r="G100" s="9">
        <f t="shared" si="2"/>
        <v>265</v>
      </c>
      <c r="H100" s="9">
        <f t="shared" si="3"/>
        <v>281</v>
      </c>
      <c r="I100" s="9">
        <f t="shared" si="4"/>
        <v>297</v>
      </c>
      <c r="J100" s="9">
        <f t="shared" si="5"/>
        <v>313</v>
      </c>
      <c r="K100" s="8"/>
      <c r="L100" s="8">
        <v>98.0</v>
      </c>
      <c r="M100" s="13" t="s">
        <v>1657</v>
      </c>
      <c r="N100" s="13" t="s">
        <v>1658</v>
      </c>
      <c r="O100" s="13" t="s">
        <v>1659</v>
      </c>
      <c r="P100" s="13" t="s">
        <v>1660</v>
      </c>
      <c r="Q100" s="13" t="s">
        <v>1661</v>
      </c>
      <c r="R100" s="13" t="s">
        <v>1662</v>
      </c>
      <c r="S100" s="12"/>
      <c r="T100" s="12"/>
      <c r="U100" s="12"/>
      <c r="V100" s="12"/>
      <c r="W100" s="9">
        <v>99.0</v>
      </c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</row>
    <row r="101">
      <c r="A101" s="8"/>
      <c r="B101" s="9" t="s">
        <v>402</v>
      </c>
      <c r="C101" s="9">
        <v>122.0</v>
      </c>
      <c r="D101" s="9" t="s">
        <v>403</v>
      </c>
      <c r="E101" s="9">
        <v>234.0</v>
      </c>
      <c r="F101" s="9">
        <f t="shared" si="1"/>
        <v>250</v>
      </c>
      <c r="G101" s="9">
        <f t="shared" si="2"/>
        <v>266</v>
      </c>
      <c r="H101" s="9">
        <f t="shared" si="3"/>
        <v>282</v>
      </c>
      <c r="I101" s="9">
        <f t="shared" si="4"/>
        <v>298</v>
      </c>
      <c r="J101" s="9">
        <f t="shared" si="5"/>
        <v>314</v>
      </c>
      <c r="K101" s="8"/>
      <c r="L101" s="8">
        <v>99.0</v>
      </c>
      <c r="M101" s="13" t="s">
        <v>1663</v>
      </c>
      <c r="N101" s="13" t="s">
        <v>1664</v>
      </c>
      <c r="O101" s="13" t="s">
        <v>1665</v>
      </c>
      <c r="P101" s="13" t="s">
        <v>1666</v>
      </c>
      <c r="Q101" s="13" t="s">
        <v>1667</v>
      </c>
      <c r="R101" s="13" t="s">
        <v>1668</v>
      </c>
      <c r="S101" s="12"/>
      <c r="T101" s="12"/>
      <c r="U101" s="12"/>
      <c r="V101" s="12"/>
      <c r="W101" s="9">
        <v>100.0</v>
      </c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</row>
    <row r="102">
      <c r="A102" s="8"/>
      <c r="B102" s="9" t="s">
        <v>405</v>
      </c>
      <c r="C102" s="9">
        <v>123.0</v>
      </c>
      <c r="D102" s="9" t="s">
        <v>406</v>
      </c>
      <c r="E102" s="9">
        <v>235.0</v>
      </c>
      <c r="F102" s="9">
        <f t="shared" si="1"/>
        <v>251</v>
      </c>
      <c r="G102" s="9">
        <f t="shared" si="2"/>
        <v>267</v>
      </c>
      <c r="H102" s="9">
        <f t="shared" si="3"/>
        <v>283</v>
      </c>
      <c r="I102" s="9">
        <f t="shared" si="4"/>
        <v>299</v>
      </c>
      <c r="J102" s="9">
        <f t="shared" si="5"/>
        <v>315</v>
      </c>
      <c r="K102" s="8"/>
      <c r="L102" s="8">
        <v>100.0</v>
      </c>
      <c r="M102" s="13" t="s">
        <v>1669</v>
      </c>
      <c r="N102" s="13" t="s">
        <v>1670</v>
      </c>
      <c r="O102" s="13" t="s">
        <v>1671</v>
      </c>
      <c r="P102" s="13" t="s">
        <v>1672</v>
      </c>
      <c r="Q102" s="13" t="s">
        <v>1673</v>
      </c>
      <c r="R102" s="13" t="s">
        <v>1674</v>
      </c>
      <c r="S102" s="12"/>
      <c r="T102" s="12"/>
      <c r="U102" s="12"/>
      <c r="V102" s="12"/>
      <c r="W102" s="9">
        <v>101.0</v>
      </c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</row>
    <row r="103">
      <c r="A103" s="8"/>
      <c r="B103" s="9" t="s">
        <v>412</v>
      </c>
      <c r="C103" s="9">
        <v>124.0</v>
      </c>
      <c r="D103" s="9" t="s">
        <v>413</v>
      </c>
      <c r="E103" s="9">
        <v>236.0</v>
      </c>
      <c r="F103" s="9">
        <f t="shared" si="1"/>
        <v>252</v>
      </c>
      <c r="G103" s="9">
        <f t="shared" si="2"/>
        <v>268</v>
      </c>
      <c r="H103" s="9">
        <f t="shared" si="3"/>
        <v>284</v>
      </c>
      <c r="I103" s="9">
        <f t="shared" si="4"/>
        <v>300</v>
      </c>
      <c r="J103" s="9">
        <f t="shared" si="5"/>
        <v>316</v>
      </c>
      <c r="K103" s="8"/>
      <c r="L103" s="8">
        <v>101.0</v>
      </c>
      <c r="M103" s="13" t="s">
        <v>1675</v>
      </c>
      <c r="N103" s="13" t="s">
        <v>1676</v>
      </c>
      <c r="O103" s="13" t="s">
        <v>1677</v>
      </c>
      <c r="P103" s="13" t="s">
        <v>1678</v>
      </c>
      <c r="Q103" s="13" t="s">
        <v>1679</v>
      </c>
      <c r="R103" s="13" t="s">
        <v>1680</v>
      </c>
      <c r="S103" s="12"/>
      <c r="T103" s="12"/>
      <c r="U103" s="12"/>
      <c r="V103" s="12"/>
      <c r="W103" s="9">
        <v>102.0</v>
      </c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</row>
    <row r="104">
      <c r="A104" s="8"/>
      <c r="B104" s="9" t="s">
        <v>416</v>
      </c>
      <c r="C104" s="9">
        <f t="array" ref="C104:C115">SEQUENCE(12,1,C92+16)</f>
        <v>129</v>
      </c>
      <c r="D104" s="9" t="s">
        <v>417</v>
      </c>
      <c r="E104" s="9">
        <f t="array" ref="E104:E115">SEQUENCE(12,1,E92+32)</f>
        <v>257</v>
      </c>
      <c r="F104" s="9">
        <f t="shared" si="1"/>
        <v>273</v>
      </c>
      <c r="G104" s="9">
        <f t="shared" si="2"/>
        <v>289</v>
      </c>
      <c r="H104" s="9">
        <f t="shared" si="3"/>
        <v>305</v>
      </c>
      <c r="I104" s="9">
        <f t="shared" si="4"/>
        <v>321</v>
      </c>
      <c r="J104" s="9">
        <f t="shared" si="5"/>
        <v>337</v>
      </c>
      <c r="K104" s="8"/>
      <c r="L104" s="8">
        <v>102.0</v>
      </c>
      <c r="M104" s="13" t="s">
        <v>1681</v>
      </c>
      <c r="N104" s="13" t="s">
        <v>1682</v>
      </c>
      <c r="O104" s="13" t="s">
        <v>1683</v>
      </c>
      <c r="P104" s="13" t="s">
        <v>1684</v>
      </c>
      <c r="Q104" s="13" t="s">
        <v>1685</v>
      </c>
      <c r="R104" s="13" t="s">
        <v>1686</v>
      </c>
      <c r="S104" s="12"/>
      <c r="T104" s="12"/>
      <c r="U104" s="12"/>
      <c r="V104" s="12"/>
      <c r="W104" s="9">
        <v>103.0</v>
      </c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</row>
    <row r="105">
      <c r="A105" s="8"/>
      <c r="B105" s="9" t="s">
        <v>420</v>
      </c>
      <c r="C105" s="9">
        <v>130.0</v>
      </c>
      <c r="D105" s="9" t="s">
        <v>421</v>
      </c>
      <c r="E105" s="9">
        <v>258.0</v>
      </c>
      <c r="F105" s="9">
        <f t="shared" si="1"/>
        <v>274</v>
      </c>
      <c r="G105" s="9">
        <f t="shared" si="2"/>
        <v>290</v>
      </c>
      <c r="H105" s="9">
        <f t="shared" si="3"/>
        <v>306</v>
      </c>
      <c r="I105" s="9">
        <f t="shared" si="4"/>
        <v>322</v>
      </c>
      <c r="J105" s="9">
        <f t="shared" si="5"/>
        <v>338</v>
      </c>
      <c r="K105" s="8"/>
      <c r="L105" s="8">
        <v>103.0</v>
      </c>
      <c r="M105" s="13" t="s">
        <v>1687</v>
      </c>
      <c r="N105" s="13" t="s">
        <v>1688</v>
      </c>
      <c r="O105" s="13" t="s">
        <v>1689</v>
      </c>
      <c r="P105" s="13" t="s">
        <v>1690</v>
      </c>
      <c r="Q105" s="13" t="s">
        <v>1691</v>
      </c>
      <c r="R105" s="13" t="s">
        <v>1692</v>
      </c>
      <c r="S105" s="12"/>
      <c r="T105" s="12"/>
      <c r="U105" s="12"/>
      <c r="V105" s="12"/>
      <c r="W105" s="9">
        <v>104.0</v>
      </c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</row>
    <row r="106">
      <c r="A106" s="8"/>
      <c r="B106" s="9" t="s">
        <v>424</v>
      </c>
      <c r="C106" s="9">
        <v>131.0</v>
      </c>
      <c r="D106" s="9" t="s">
        <v>425</v>
      </c>
      <c r="E106" s="9">
        <v>259.0</v>
      </c>
      <c r="F106" s="9">
        <f t="shared" si="1"/>
        <v>275</v>
      </c>
      <c r="G106" s="9">
        <f t="shared" si="2"/>
        <v>291</v>
      </c>
      <c r="H106" s="9">
        <f t="shared" si="3"/>
        <v>307</v>
      </c>
      <c r="I106" s="9">
        <f t="shared" si="4"/>
        <v>323</v>
      </c>
      <c r="J106" s="9">
        <f t="shared" si="5"/>
        <v>339</v>
      </c>
      <c r="K106" s="8"/>
      <c r="L106" s="8">
        <v>104.0</v>
      </c>
      <c r="M106" s="13" t="s">
        <v>1693</v>
      </c>
      <c r="N106" s="13" t="s">
        <v>1694</v>
      </c>
      <c r="O106" s="13" t="s">
        <v>1695</v>
      </c>
      <c r="P106" s="13" t="s">
        <v>1696</v>
      </c>
      <c r="Q106" s="13" t="s">
        <v>1697</v>
      </c>
      <c r="R106" s="13" t="s">
        <v>1698</v>
      </c>
      <c r="S106" s="12"/>
      <c r="T106" s="12"/>
      <c r="U106" s="12"/>
      <c r="V106" s="12"/>
      <c r="W106" s="9">
        <v>105.0</v>
      </c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</row>
    <row r="107">
      <c r="A107" s="8"/>
      <c r="B107" s="9" t="s">
        <v>428</v>
      </c>
      <c r="C107" s="9">
        <v>132.0</v>
      </c>
      <c r="D107" s="9" t="s">
        <v>429</v>
      </c>
      <c r="E107" s="9">
        <v>260.0</v>
      </c>
      <c r="F107" s="9">
        <f t="shared" si="1"/>
        <v>276</v>
      </c>
      <c r="G107" s="9">
        <f t="shared" si="2"/>
        <v>292</v>
      </c>
      <c r="H107" s="9">
        <f t="shared" si="3"/>
        <v>308</v>
      </c>
      <c r="I107" s="9">
        <f t="shared" si="4"/>
        <v>324</v>
      </c>
      <c r="J107" s="9">
        <f t="shared" si="5"/>
        <v>340</v>
      </c>
      <c r="K107" s="8"/>
      <c r="L107" s="8">
        <v>105.0</v>
      </c>
      <c r="M107" s="13" t="s">
        <v>1699</v>
      </c>
      <c r="N107" s="13" t="s">
        <v>1700</v>
      </c>
      <c r="O107" s="13" t="s">
        <v>1701</v>
      </c>
      <c r="P107" s="13" t="s">
        <v>1702</v>
      </c>
      <c r="Q107" s="13" t="s">
        <v>1703</v>
      </c>
      <c r="R107" s="13" t="s">
        <v>1704</v>
      </c>
      <c r="S107" s="12"/>
      <c r="T107" s="12"/>
      <c r="U107" s="12"/>
      <c r="V107" s="12"/>
      <c r="W107" s="9">
        <v>106.0</v>
      </c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</row>
    <row r="108">
      <c r="A108" s="8"/>
      <c r="B108" s="9" t="s">
        <v>432</v>
      </c>
      <c r="C108" s="9">
        <v>133.0</v>
      </c>
      <c r="D108" s="9" t="s">
        <v>433</v>
      </c>
      <c r="E108" s="9">
        <v>261.0</v>
      </c>
      <c r="F108" s="9">
        <f t="shared" si="1"/>
        <v>277</v>
      </c>
      <c r="G108" s="9">
        <f t="shared" si="2"/>
        <v>293</v>
      </c>
      <c r="H108" s="9">
        <f t="shared" si="3"/>
        <v>309</v>
      </c>
      <c r="I108" s="9">
        <f t="shared" si="4"/>
        <v>325</v>
      </c>
      <c r="J108" s="9">
        <f t="shared" si="5"/>
        <v>341</v>
      </c>
      <c r="K108" s="8"/>
      <c r="L108" s="8">
        <v>106.0</v>
      </c>
      <c r="M108" s="13" t="s">
        <v>1705</v>
      </c>
      <c r="N108" s="13" t="s">
        <v>1706</v>
      </c>
      <c r="O108" s="13" t="s">
        <v>1707</v>
      </c>
      <c r="P108" s="13" t="s">
        <v>1708</v>
      </c>
      <c r="Q108" s="13" t="s">
        <v>1709</v>
      </c>
      <c r="R108" s="13" t="s">
        <v>1710</v>
      </c>
      <c r="S108" s="12"/>
      <c r="T108" s="12"/>
      <c r="U108" s="12"/>
      <c r="V108" s="12"/>
      <c r="W108" s="9">
        <v>107.0</v>
      </c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</row>
    <row r="109">
      <c r="A109" s="8"/>
      <c r="B109" s="9" t="s">
        <v>436</v>
      </c>
      <c r="C109" s="9">
        <v>134.0</v>
      </c>
      <c r="D109" s="9" t="s">
        <v>437</v>
      </c>
      <c r="E109" s="9">
        <v>262.0</v>
      </c>
      <c r="F109" s="9">
        <f t="shared" si="1"/>
        <v>278</v>
      </c>
      <c r="G109" s="9">
        <f t="shared" si="2"/>
        <v>294</v>
      </c>
      <c r="H109" s="9">
        <f t="shared" si="3"/>
        <v>310</v>
      </c>
      <c r="I109" s="9">
        <f t="shared" si="4"/>
        <v>326</v>
      </c>
      <c r="J109" s="9">
        <f t="shared" si="5"/>
        <v>342</v>
      </c>
      <c r="K109" s="8"/>
      <c r="L109" s="8">
        <v>107.0</v>
      </c>
      <c r="M109" s="13" t="s">
        <v>1711</v>
      </c>
      <c r="N109" s="13" t="s">
        <v>1712</v>
      </c>
      <c r="O109" s="13" t="s">
        <v>1713</v>
      </c>
      <c r="P109" s="13" t="s">
        <v>1714</v>
      </c>
      <c r="Q109" s="13" t="s">
        <v>1715</v>
      </c>
      <c r="R109" s="13" t="s">
        <v>1716</v>
      </c>
      <c r="S109" s="12"/>
      <c r="T109" s="12"/>
      <c r="U109" s="12"/>
      <c r="V109" s="12"/>
      <c r="W109" s="9">
        <v>108.0</v>
      </c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</row>
    <row r="110">
      <c r="A110" s="8"/>
      <c r="B110" s="9" t="s">
        <v>440</v>
      </c>
      <c r="C110" s="9">
        <v>135.0</v>
      </c>
      <c r="D110" s="9" t="s">
        <v>441</v>
      </c>
      <c r="E110" s="9">
        <v>263.0</v>
      </c>
      <c r="F110" s="9">
        <f t="shared" si="1"/>
        <v>279</v>
      </c>
      <c r="G110" s="9">
        <f t="shared" si="2"/>
        <v>295</v>
      </c>
      <c r="H110" s="9">
        <f t="shared" si="3"/>
        <v>311</v>
      </c>
      <c r="I110" s="9">
        <f t="shared" si="4"/>
        <v>327</v>
      </c>
      <c r="J110" s="9">
        <f t="shared" si="5"/>
        <v>343</v>
      </c>
      <c r="K110" s="8"/>
      <c r="L110" s="8">
        <v>108.0</v>
      </c>
      <c r="M110" s="13" t="s">
        <v>1717</v>
      </c>
      <c r="N110" s="13" t="s">
        <v>1718</v>
      </c>
      <c r="O110" s="13" t="s">
        <v>1719</v>
      </c>
      <c r="P110" s="13" t="s">
        <v>1720</v>
      </c>
      <c r="Q110" s="13" t="s">
        <v>1721</v>
      </c>
      <c r="R110" s="13" t="s">
        <v>1722</v>
      </c>
      <c r="S110" s="12"/>
      <c r="T110" s="12"/>
      <c r="U110" s="12"/>
      <c r="V110" s="12"/>
      <c r="W110" s="9">
        <v>109.0</v>
      </c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</row>
    <row r="111">
      <c r="A111" s="8"/>
      <c r="B111" s="9" t="s">
        <v>444</v>
      </c>
      <c r="C111" s="9">
        <v>136.0</v>
      </c>
      <c r="D111" s="9" t="s">
        <v>445</v>
      </c>
      <c r="E111" s="9">
        <v>264.0</v>
      </c>
      <c r="F111" s="9">
        <f t="shared" si="1"/>
        <v>280</v>
      </c>
      <c r="G111" s="9">
        <f t="shared" si="2"/>
        <v>296</v>
      </c>
      <c r="H111" s="9">
        <f t="shared" si="3"/>
        <v>312</v>
      </c>
      <c r="I111" s="9">
        <f t="shared" si="4"/>
        <v>328</v>
      </c>
      <c r="J111" s="9">
        <f t="shared" si="5"/>
        <v>344</v>
      </c>
      <c r="K111" s="8"/>
      <c r="L111" s="8">
        <v>109.0</v>
      </c>
      <c r="M111" s="8">
        <v>0.0</v>
      </c>
      <c r="N111" s="8">
        <v>0.0</v>
      </c>
      <c r="O111" s="8">
        <v>0.0</v>
      </c>
      <c r="P111" s="8">
        <v>0.0</v>
      </c>
      <c r="Q111" s="8">
        <v>0.0</v>
      </c>
      <c r="R111" s="8">
        <v>0.0</v>
      </c>
      <c r="S111" s="12"/>
      <c r="T111" s="12"/>
      <c r="U111" s="12"/>
      <c r="V111" s="12"/>
      <c r="W111" s="9">
        <v>110.0</v>
      </c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</row>
    <row r="112">
      <c r="A112" s="8"/>
      <c r="B112" s="9" t="s">
        <v>448</v>
      </c>
      <c r="C112" s="9">
        <v>137.0</v>
      </c>
      <c r="D112" s="9" t="s">
        <v>449</v>
      </c>
      <c r="E112" s="9">
        <v>265.0</v>
      </c>
      <c r="F112" s="9">
        <f t="shared" si="1"/>
        <v>281</v>
      </c>
      <c r="G112" s="9">
        <f t="shared" si="2"/>
        <v>297</v>
      </c>
      <c r="H112" s="9">
        <f t="shared" si="3"/>
        <v>313</v>
      </c>
      <c r="I112" s="9">
        <f t="shared" si="4"/>
        <v>329</v>
      </c>
      <c r="J112" s="9">
        <f t="shared" si="5"/>
        <v>345</v>
      </c>
      <c r="K112" s="8"/>
      <c r="L112" s="8">
        <v>110.0</v>
      </c>
      <c r="M112" s="8">
        <v>0.0</v>
      </c>
      <c r="N112" s="8">
        <v>0.0</v>
      </c>
      <c r="O112" s="8">
        <v>0.0</v>
      </c>
      <c r="P112" s="8">
        <v>0.0</v>
      </c>
      <c r="Q112" s="8">
        <v>0.0</v>
      </c>
      <c r="R112" s="8">
        <v>0.0</v>
      </c>
      <c r="S112" s="12"/>
      <c r="T112" s="12"/>
      <c r="U112" s="12"/>
      <c r="V112" s="12"/>
      <c r="W112" s="9">
        <v>111.0</v>
      </c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</row>
    <row r="113">
      <c r="A113" s="8"/>
      <c r="B113" s="9" t="s">
        <v>452</v>
      </c>
      <c r="C113" s="9">
        <v>138.0</v>
      </c>
      <c r="D113" s="9" t="s">
        <v>453</v>
      </c>
      <c r="E113" s="9">
        <v>266.0</v>
      </c>
      <c r="F113" s="9">
        <f t="shared" si="1"/>
        <v>282</v>
      </c>
      <c r="G113" s="9">
        <f t="shared" si="2"/>
        <v>298</v>
      </c>
      <c r="H113" s="9">
        <f t="shared" si="3"/>
        <v>314</v>
      </c>
      <c r="I113" s="9">
        <f t="shared" si="4"/>
        <v>330</v>
      </c>
      <c r="J113" s="9">
        <f t="shared" si="5"/>
        <v>346</v>
      </c>
      <c r="K113" s="8"/>
      <c r="L113" s="8">
        <v>111.0</v>
      </c>
      <c r="M113" s="8">
        <v>0.0</v>
      </c>
      <c r="N113" s="8">
        <v>0.0</v>
      </c>
      <c r="O113" s="8">
        <v>0.0</v>
      </c>
      <c r="P113" s="8">
        <v>0.0</v>
      </c>
      <c r="Q113" s="8">
        <v>0.0</v>
      </c>
      <c r="R113" s="8">
        <v>0.0</v>
      </c>
      <c r="S113" s="12"/>
      <c r="T113" s="12"/>
      <c r="U113" s="12"/>
      <c r="V113" s="12"/>
      <c r="W113" s="9">
        <v>112.0</v>
      </c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</row>
    <row r="114">
      <c r="A114" s="8"/>
      <c r="B114" s="9" t="s">
        <v>456</v>
      </c>
      <c r="C114" s="9">
        <v>139.0</v>
      </c>
      <c r="D114" s="9" t="s">
        <v>457</v>
      </c>
      <c r="E114" s="9">
        <v>267.0</v>
      </c>
      <c r="F114" s="9">
        <f t="shared" si="1"/>
        <v>283</v>
      </c>
      <c r="G114" s="9">
        <f t="shared" si="2"/>
        <v>299</v>
      </c>
      <c r="H114" s="9">
        <f t="shared" si="3"/>
        <v>315</v>
      </c>
      <c r="I114" s="9">
        <f t="shared" si="4"/>
        <v>331</v>
      </c>
      <c r="J114" s="9">
        <f t="shared" si="5"/>
        <v>347</v>
      </c>
      <c r="K114" s="8"/>
      <c r="L114" s="8">
        <v>112.0</v>
      </c>
      <c r="M114" s="8">
        <v>0.0</v>
      </c>
      <c r="N114" s="8">
        <v>0.0</v>
      </c>
      <c r="O114" s="8">
        <v>0.0</v>
      </c>
      <c r="P114" s="8">
        <v>0.0</v>
      </c>
      <c r="Q114" s="8">
        <v>0.0</v>
      </c>
      <c r="R114" s="8">
        <v>0.0</v>
      </c>
      <c r="S114" s="12"/>
      <c r="T114" s="12"/>
      <c r="U114" s="12"/>
      <c r="V114" s="12"/>
      <c r="W114" s="9">
        <v>113.0</v>
      </c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</row>
    <row r="115">
      <c r="A115" s="8"/>
      <c r="B115" s="9" t="s">
        <v>458</v>
      </c>
      <c r="C115" s="9">
        <v>140.0</v>
      </c>
      <c r="D115" s="9" t="s">
        <v>459</v>
      </c>
      <c r="E115" s="9">
        <v>268.0</v>
      </c>
      <c r="F115" s="9">
        <f t="shared" si="1"/>
        <v>284</v>
      </c>
      <c r="G115" s="9">
        <f t="shared" si="2"/>
        <v>300</v>
      </c>
      <c r="H115" s="9">
        <f t="shared" si="3"/>
        <v>316</v>
      </c>
      <c r="I115" s="9">
        <f t="shared" si="4"/>
        <v>332</v>
      </c>
      <c r="J115" s="9">
        <f t="shared" si="5"/>
        <v>348</v>
      </c>
      <c r="K115" s="8"/>
      <c r="L115" s="8">
        <v>113.0</v>
      </c>
      <c r="M115" s="13" t="s">
        <v>1723</v>
      </c>
      <c r="N115" s="13" t="s">
        <v>1724</v>
      </c>
      <c r="O115" s="13" t="s">
        <v>1725</v>
      </c>
      <c r="P115" s="13" t="s">
        <v>1726</v>
      </c>
      <c r="Q115" s="13" t="s">
        <v>1727</v>
      </c>
      <c r="R115" s="13" t="s">
        <v>1728</v>
      </c>
      <c r="S115" s="12"/>
      <c r="T115" s="12"/>
      <c r="U115" s="12"/>
      <c r="V115" s="12"/>
      <c r="W115" s="9">
        <v>114.0</v>
      </c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</row>
    <row r="116">
      <c r="A116" s="8"/>
      <c r="B116" s="9" t="s">
        <v>460</v>
      </c>
      <c r="C116" s="9">
        <f t="array" ref="C116:C127">SEQUENCE(12,1,C104+16)</f>
        <v>145</v>
      </c>
      <c r="D116" s="9" t="s">
        <v>461</v>
      </c>
      <c r="E116" s="9">
        <f t="array" ref="E116:E127">SEQUENCE(12,1,E104+32)</f>
        <v>289</v>
      </c>
      <c r="F116" s="9">
        <f t="shared" si="1"/>
        <v>305</v>
      </c>
      <c r="G116" s="9">
        <f t="shared" si="2"/>
        <v>321</v>
      </c>
      <c r="H116" s="9">
        <f t="shared" si="3"/>
        <v>337</v>
      </c>
      <c r="I116" s="9">
        <f t="shared" si="4"/>
        <v>353</v>
      </c>
      <c r="J116" s="9">
        <f t="shared" si="5"/>
        <v>369</v>
      </c>
      <c r="K116" s="8"/>
      <c r="L116" s="8">
        <v>114.0</v>
      </c>
      <c r="M116" s="13" t="s">
        <v>1729</v>
      </c>
      <c r="N116" s="13" t="s">
        <v>1730</v>
      </c>
      <c r="O116" s="13" t="s">
        <v>1731</v>
      </c>
      <c r="P116" s="13" t="s">
        <v>1732</v>
      </c>
      <c r="Q116" s="13" t="s">
        <v>1733</v>
      </c>
      <c r="R116" s="13" t="s">
        <v>1734</v>
      </c>
      <c r="S116" s="12"/>
      <c r="T116" s="12"/>
      <c r="U116" s="12"/>
      <c r="V116" s="12"/>
      <c r="W116" s="9">
        <v>115.0</v>
      </c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</row>
    <row r="117">
      <c r="A117" s="8"/>
      <c r="B117" s="9" t="s">
        <v>462</v>
      </c>
      <c r="C117" s="9">
        <v>146.0</v>
      </c>
      <c r="D117" s="9" t="s">
        <v>463</v>
      </c>
      <c r="E117" s="8">
        <v>290.0</v>
      </c>
      <c r="F117" s="9">
        <f t="shared" si="1"/>
        <v>306</v>
      </c>
      <c r="G117" s="9">
        <f t="shared" si="2"/>
        <v>322</v>
      </c>
      <c r="H117" s="9">
        <f t="shared" si="3"/>
        <v>338</v>
      </c>
      <c r="I117" s="9">
        <f t="shared" si="4"/>
        <v>354</v>
      </c>
      <c r="J117" s="9">
        <f t="shared" si="5"/>
        <v>370</v>
      </c>
      <c r="K117" s="8"/>
      <c r="L117" s="8">
        <v>115.0</v>
      </c>
      <c r="M117" s="13" t="s">
        <v>1735</v>
      </c>
      <c r="N117" s="13" t="s">
        <v>1736</v>
      </c>
      <c r="O117" s="13" t="s">
        <v>1737</v>
      </c>
      <c r="P117" s="13" t="s">
        <v>1738</v>
      </c>
      <c r="Q117" s="13" t="s">
        <v>1739</v>
      </c>
      <c r="R117" s="13" t="s">
        <v>1740</v>
      </c>
      <c r="S117" s="12"/>
      <c r="T117" s="12"/>
      <c r="U117" s="12"/>
      <c r="V117" s="12"/>
      <c r="W117" s="9">
        <v>116.0</v>
      </c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</row>
    <row r="118">
      <c r="A118" s="8"/>
      <c r="B118" s="9" t="s">
        <v>464</v>
      </c>
      <c r="C118" s="9">
        <v>147.0</v>
      </c>
      <c r="D118" s="9" t="s">
        <v>465</v>
      </c>
      <c r="E118" s="8">
        <v>291.0</v>
      </c>
      <c r="F118" s="9">
        <f t="shared" si="1"/>
        <v>307</v>
      </c>
      <c r="G118" s="9">
        <f t="shared" si="2"/>
        <v>323</v>
      </c>
      <c r="H118" s="9">
        <f t="shared" si="3"/>
        <v>339</v>
      </c>
      <c r="I118" s="9">
        <f t="shared" si="4"/>
        <v>355</v>
      </c>
      <c r="J118" s="9">
        <f t="shared" si="5"/>
        <v>371</v>
      </c>
      <c r="K118" s="8"/>
      <c r="L118" s="8">
        <v>116.0</v>
      </c>
      <c r="M118" s="13" t="s">
        <v>1741</v>
      </c>
      <c r="N118" s="13" t="s">
        <v>1742</v>
      </c>
      <c r="O118" s="13" t="s">
        <v>1743</v>
      </c>
      <c r="P118" s="13" t="s">
        <v>1744</v>
      </c>
      <c r="Q118" s="13" t="s">
        <v>1745</v>
      </c>
      <c r="R118" s="13" t="s">
        <v>1746</v>
      </c>
      <c r="S118" s="12"/>
      <c r="T118" s="12"/>
      <c r="U118" s="12"/>
      <c r="V118" s="12"/>
      <c r="W118" s="9">
        <v>117.0</v>
      </c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</row>
    <row r="119">
      <c r="A119" s="8"/>
      <c r="B119" s="9" t="s">
        <v>471</v>
      </c>
      <c r="C119" s="9">
        <v>148.0</v>
      </c>
      <c r="D119" s="9" t="s">
        <v>472</v>
      </c>
      <c r="E119" s="8">
        <v>292.0</v>
      </c>
      <c r="F119" s="9">
        <f t="shared" si="1"/>
        <v>308</v>
      </c>
      <c r="G119" s="9">
        <f t="shared" si="2"/>
        <v>324</v>
      </c>
      <c r="H119" s="9">
        <f t="shared" si="3"/>
        <v>340</v>
      </c>
      <c r="I119" s="9">
        <f t="shared" si="4"/>
        <v>356</v>
      </c>
      <c r="J119" s="9">
        <f t="shared" si="5"/>
        <v>372</v>
      </c>
      <c r="K119" s="8"/>
      <c r="L119" s="8">
        <v>117.0</v>
      </c>
      <c r="M119" s="13" t="s">
        <v>1747</v>
      </c>
      <c r="N119" s="13" t="s">
        <v>1748</v>
      </c>
      <c r="O119" s="13" t="s">
        <v>1749</v>
      </c>
      <c r="P119" s="13" t="s">
        <v>1750</v>
      </c>
      <c r="Q119" s="13" t="s">
        <v>1751</v>
      </c>
      <c r="R119" s="13" t="s">
        <v>1752</v>
      </c>
      <c r="S119" s="12"/>
      <c r="T119" s="12"/>
      <c r="U119" s="12"/>
      <c r="V119" s="12"/>
      <c r="W119" s="9">
        <v>118.0</v>
      </c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</row>
    <row r="120">
      <c r="A120" s="8"/>
      <c r="B120" s="9" t="s">
        <v>475</v>
      </c>
      <c r="C120" s="9">
        <v>149.0</v>
      </c>
      <c r="D120" s="9" t="s">
        <v>476</v>
      </c>
      <c r="E120" s="8">
        <v>293.0</v>
      </c>
      <c r="F120" s="9">
        <f t="shared" si="1"/>
        <v>309</v>
      </c>
      <c r="G120" s="9">
        <f t="shared" si="2"/>
        <v>325</v>
      </c>
      <c r="H120" s="9">
        <f t="shared" si="3"/>
        <v>341</v>
      </c>
      <c r="I120" s="9">
        <f t="shared" si="4"/>
        <v>357</v>
      </c>
      <c r="J120" s="9">
        <f t="shared" si="5"/>
        <v>373</v>
      </c>
      <c r="K120" s="8"/>
      <c r="L120" s="8">
        <v>118.0</v>
      </c>
      <c r="M120" s="13" t="s">
        <v>1753</v>
      </c>
      <c r="N120" s="13" t="s">
        <v>1754</v>
      </c>
      <c r="O120" s="13" t="s">
        <v>1755</v>
      </c>
      <c r="P120" s="13" t="s">
        <v>1756</v>
      </c>
      <c r="Q120" s="13" t="s">
        <v>1757</v>
      </c>
      <c r="R120" s="13" t="s">
        <v>1758</v>
      </c>
      <c r="S120" s="12"/>
      <c r="T120" s="12"/>
      <c r="U120" s="12"/>
      <c r="V120" s="12"/>
      <c r="W120" s="9">
        <v>119.0</v>
      </c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</row>
    <row r="121">
      <c r="A121" s="8"/>
      <c r="B121" s="9" t="s">
        <v>479</v>
      </c>
      <c r="C121" s="9">
        <v>150.0</v>
      </c>
      <c r="D121" s="9" t="s">
        <v>480</v>
      </c>
      <c r="E121" s="8">
        <v>294.0</v>
      </c>
      <c r="F121" s="9">
        <f t="shared" si="1"/>
        <v>310</v>
      </c>
      <c r="G121" s="9">
        <f t="shared" si="2"/>
        <v>326</v>
      </c>
      <c r="H121" s="9">
        <f t="shared" si="3"/>
        <v>342</v>
      </c>
      <c r="I121" s="9">
        <f t="shared" si="4"/>
        <v>358</v>
      </c>
      <c r="J121" s="9">
        <f t="shared" si="5"/>
        <v>374</v>
      </c>
      <c r="K121" s="8"/>
      <c r="L121" s="8">
        <v>119.0</v>
      </c>
      <c r="M121" s="13" t="s">
        <v>1759</v>
      </c>
      <c r="N121" s="13" t="s">
        <v>1760</v>
      </c>
      <c r="O121" s="13" t="s">
        <v>1761</v>
      </c>
      <c r="P121" s="13" t="s">
        <v>1762</v>
      </c>
      <c r="Q121" s="13" t="s">
        <v>1763</v>
      </c>
      <c r="R121" s="13" t="s">
        <v>1764</v>
      </c>
      <c r="S121" s="12"/>
      <c r="T121" s="12"/>
      <c r="U121" s="12"/>
      <c r="V121" s="12"/>
      <c r="W121" s="9">
        <v>120.0</v>
      </c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</row>
    <row r="122">
      <c r="A122" s="8"/>
      <c r="B122" s="9" t="s">
        <v>483</v>
      </c>
      <c r="C122" s="9">
        <v>151.0</v>
      </c>
      <c r="D122" s="9" t="s">
        <v>484</v>
      </c>
      <c r="E122" s="8">
        <v>295.0</v>
      </c>
      <c r="F122" s="9">
        <f t="shared" si="1"/>
        <v>311</v>
      </c>
      <c r="G122" s="9">
        <f t="shared" si="2"/>
        <v>327</v>
      </c>
      <c r="H122" s="9">
        <f t="shared" si="3"/>
        <v>343</v>
      </c>
      <c r="I122" s="9">
        <f t="shared" si="4"/>
        <v>359</v>
      </c>
      <c r="J122" s="9">
        <f t="shared" si="5"/>
        <v>375</v>
      </c>
      <c r="K122" s="8"/>
      <c r="L122" s="8">
        <v>120.0</v>
      </c>
      <c r="M122" s="13" t="s">
        <v>1765</v>
      </c>
      <c r="N122" s="13" t="s">
        <v>1766</v>
      </c>
      <c r="O122" s="13" t="s">
        <v>1767</v>
      </c>
      <c r="P122" s="13" t="s">
        <v>1768</v>
      </c>
      <c r="Q122" s="13" t="s">
        <v>1769</v>
      </c>
      <c r="R122" s="13" t="s">
        <v>1770</v>
      </c>
      <c r="S122" s="12"/>
      <c r="T122" s="12"/>
      <c r="U122" s="12"/>
      <c r="V122" s="12"/>
      <c r="W122" s="9">
        <v>121.0</v>
      </c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</row>
    <row r="123">
      <c r="A123" s="8"/>
      <c r="B123" s="9" t="s">
        <v>487</v>
      </c>
      <c r="C123" s="9">
        <v>152.0</v>
      </c>
      <c r="D123" s="9" t="s">
        <v>488</v>
      </c>
      <c r="E123" s="8">
        <v>296.0</v>
      </c>
      <c r="F123" s="9">
        <f t="shared" si="1"/>
        <v>312</v>
      </c>
      <c r="G123" s="9">
        <f t="shared" si="2"/>
        <v>328</v>
      </c>
      <c r="H123" s="9">
        <f t="shared" si="3"/>
        <v>344</v>
      </c>
      <c r="I123" s="9">
        <f t="shared" si="4"/>
        <v>360</v>
      </c>
      <c r="J123" s="9">
        <f t="shared" si="5"/>
        <v>376</v>
      </c>
      <c r="K123" s="8"/>
      <c r="L123" s="8">
        <v>121.0</v>
      </c>
      <c r="M123" s="13" t="s">
        <v>1771</v>
      </c>
      <c r="N123" s="13" t="s">
        <v>1772</v>
      </c>
      <c r="O123" s="13" t="s">
        <v>1773</v>
      </c>
      <c r="P123" s="13" t="s">
        <v>1774</v>
      </c>
      <c r="Q123" s="13" t="s">
        <v>1775</v>
      </c>
      <c r="R123" s="13" t="s">
        <v>1776</v>
      </c>
      <c r="S123" s="12"/>
      <c r="T123" s="12"/>
      <c r="U123" s="12"/>
      <c r="V123" s="12"/>
      <c r="W123" s="9">
        <v>122.0</v>
      </c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</row>
    <row r="124">
      <c r="A124" s="8"/>
      <c r="B124" s="9" t="s">
        <v>491</v>
      </c>
      <c r="C124" s="9">
        <v>153.0</v>
      </c>
      <c r="D124" s="9" t="s">
        <v>492</v>
      </c>
      <c r="E124" s="8">
        <v>297.0</v>
      </c>
      <c r="F124" s="9">
        <f t="shared" si="1"/>
        <v>313</v>
      </c>
      <c r="G124" s="9">
        <f t="shared" si="2"/>
        <v>329</v>
      </c>
      <c r="H124" s="9">
        <f t="shared" si="3"/>
        <v>345</v>
      </c>
      <c r="I124" s="9">
        <f t="shared" si="4"/>
        <v>361</v>
      </c>
      <c r="J124" s="9">
        <f t="shared" si="5"/>
        <v>377</v>
      </c>
      <c r="K124" s="8"/>
      <c r="L124" s="8">
        <v>122.0</v>
      </c>
      <c r="M124" s="13" t="s">
        <v>1777</v>
      </c>
      <c r="N124" s="13" t="s">
        <v>1778</v>
      </c>
      <c r="O124" s="13" t="s">
        <v>1779</v>
      </c>
      <c r="P124" s="13" t="s">
        <v>1780</v>
      </c>
      <c r="Q124" s="13" t="s">
        <v>1781</v>
      </c>
      <c r="R124" s="13" t="s">
        <v>1782</v>
      </c>
      <c r="S124" s="12"/>
      <c r="T124" s="12"/>
      <c r="U124" s="12"/>
      <c r="V124" s="12"/>
      <c r="W124" s="9">
        <v>123.0</v>
      </c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</row>
    <row r="125">
      <c r="A125" s="8"/>
      <c r="B125" s="9" t="s">
        <v>495</v>
      </c>
      <c r="C125" s="9">
        <v>154.0</v>
      </c>
      <c r="D125" s="9" t="s">
        <v>496</v>
      </c>
      <c r="E125" s="8">
        <v>298.0</v>
      </c>
      <c r="F125" s="9">
        <f t="shared" si="1"/>
        <v>314</v>
      </c>
      <c r="G125" s="9">
        <f t="shared" si="2"/>
        <v>330</v>
      </c>
      <c r="H125" s="9">
        <f t="shared" si="3"/>
        <v>346</v>
      </c>
      <c r="I125" s="9">
        <f t="shared" si="4"/>
        <v>362</v>
      </c>
      <c r="J125" s="9">
        <f t="shared" si="5"/>
        <v>378</v>
      </c>
      <c r="K125" s="8"/>
      <c r="L125" s="8">
        <v>123.0</v>
      </c>
      <c r="M125" s="13" t="s">
        <v>1783</v>
      </c>
      <c r="N125" s="13" t="s">
        <v>1784</v>
      </c>
      <c r="O125" s="13" t="s">
        <v>1785</v>
      </c>
      <c r="P125" s="13" t="s">
        <v>1786</v>
      </c>
      <c r="Q125" s="13" t="s">
        <v>1787</v>
      </c>
      <c r="R125" s="13" t="s">
        <v>1788</v>
      </c>
      <c r="S125" s="12"/>
      <c r="T125" s="12"/>
      <c r="U125" s="12"/>
      <c r="V125" s="12"/>
      <c r="W125" s="9">
        <v>124.0</v>
      </c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</row>
    <row r="126">
      <c r="A126" s="8"/>
      <c r="B126" s="9" t="s">
        <v>499</v>
      </c>
      <c r="C126" s="9">
        <v>155.0</v>
      </c>
      <c r="D126" s="9" t="s">
        <v>500</v>
      </c>
      <c r="E126" s="8">
        <v>299.0</v>
      </c>
      <c r="F126" s="9">
        <f t="shared" si="1"/>
        <v>315</v>
      </c>
      <c r="G126" s="9">
        <f t="shared" si="2"/>
        <v>331</v>
      </c>
      <c r="H126" s="9">
        <f t="shared" si="3"/>
        <v>347</v>
      </c>
      <c r="I126" s="9">
        <f t="shared" si="4"/>
        <v>363</v>
      </c>
      <c r="J126" s="9">
        <f t="shared" si="5"/>
        <v>379</v>
      </c>
      <c r="K126" s="8"/>
      <c r="L126" s="8">
        <v>124.0</v>
      </c>
      <c r="M126" s="13" t="s">
        <v>1789</v>
      </c>
      <c r="N126" s="13" t="s">
        <v>1790</v>
      </c>
      <c r="O126" s="13" t="s">
        <v>1791</v>
      </c>
      <c r="P126" s="13" t="s">
        <v>1792</v>
      </c>
      <c r="Q126" s="13" t="s">
        <v>1793</v>
      </c>
      <c r="R126" s="13" t="s">
        <v>1794</v>
      </c>
      <c r="S126" s="12"/>
      <c r="T126" s="12"/>
      <c r="U126" s="12"/>
      <c r="V126" s="12"/>
      <c r="W126" s="9">
        <v>125.0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</row>
    <row r="127">
      <c r="A127" s="8"/>
      <c r="B127" s="9" t="s">
        <v>503</v>
      </c>
      <c r="C127" s="9">
        <v>156.0</v>
      </c>
      <c r="D127" s="9" t="s">
        <v>504</v>
      </c>
      <c r="E127" s="8">
        <v>300.0</v>
      </c>
      <c r="F127" s="9">
        <f t="shared" si="1"/>
        <v>316</v>
      </c>
      <c r="G127" s="9">
        <f t="shared" si="2"/>
        <v>332</v>
      </c>
      <c r="H127" s="9">
        <f t="shared" si="3"/>
        <v>348</v>
      </c>
      <c r="I127" s="9">
        <f t="shared" si="4"/>
        <v>364</v>
      </c>
      <c r="J127" s="9">
        <f t="shared" si="5"/>
        <v>380</v>
      </c>
      <c r="K127" s="8"/>
      <c r="L127" s="8">
        <v>125.0</v>
      </c>
      <c r="M127" s="8">
        <v>0.0</v>
      </c>
      <c r="N127" s="8">
        <v>0.0</v>
      </c>
      <c r="O127" s="8">
        <v>0.0</v>
      </c>
      <c r="P127" s="8">
        <v>0.0</v>
      </c>
      <c r="Q127" s="8">
        <v>0.0</v>
      </c>
      <c r="R127" s="8">
        <v>0.0</v>
      </c>
      <c r="S127" s="12"/>
      <c r="T127" s="12"/>
      <c r="U127" s="12"/>
      <c r="V127" s="12"/>
      <c r="W127" s="9">
        <v>126.0</v>
      </c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</row>
    <row r="128">
      <c r="A128" s="8"/>
      <c r="B128" s="9" t="s">
        <v>507</v>
      </c>
      <c r="C128" s="9">
        <f t="array" ref="C128:C139">SEQUENCE(12,1,C116+16)</f>
        <v>161</v>
      </c>
      <c r="D128" s="9" t="s">
        <v>508</v>
      </c>
      <c r="E128" s="9">
        <f t="array" ref="E128:E139">SEQUENCE(12,1,E116+32)</f>
        <v>321</v>
      </c>
      <c r="F128" s="9">
        <f t="shared" si="1"/>
        <v>337</v>
      </c>
      <c r="G128" s="9">
        <f t="shared" si="2"/>
        <v>353</v>
      </c>
      <c r="H128" s="9">
        <f t="shared" si="3"/>
        <v>369</v>
      </c>
      <c r="I128" s="9">
        <f t="shared" si="4"/>
        <v>385</v>
      </c>
      <c r="J128" s="9">
        <f t="shared" si="5"/>
        <v>401</v>
      </c>
      <c r="K128" s="8"/>
      <c r="L128" s="8">
        <v>126.0</v>
      </c>
      <c r="M128" s="8">
        <v>0.0</v>
      </c>
      <c r="N128" s="8">
        <v>0.0</v>
      </c>
      <c r="O128" s="8">
        <v>0.0</v>
      </c>
      <c r="P128" s="8">
        <v>0.0</v>
      </c>
      <c r="Q128" s="8">
        <v>0.0</v>
      </c>
      <c r="R128" s="8">
        <v>0.0</v>
      </c>
      <c r="S128" s="12"/>
      <c r="T128" s="12"/>
      <c r="U128" s="12"/>
      <c r="V128" s="12"/>
      <c r="W128" s="9">
        <v>127.0</v>
      </c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</row>
    <row r="129">
      <c r="A129" s="8"/>
      <c r="B129" s="9" t="s">
        <v>511</v>
      </c>
      <c r="C129" s="9">
        <v>162.0</v>
      </c>
      <c r="D129" s="9" t="s">
        <v>512</v>
      </c>
      <c r="E129" s="8">
        <v>322.0</v>
      </c>
      <c r="F129" s="9">
        <f t="shared" si="1"/>
        <v>338</v>
      </c>
      <c r="G129" s="9">
        <f t="shared" si="2"/>
        <v>354</v>
      </c>
      <c r="H129" s="9">
        <f t="shared" si="3"/>
        <v>370</v>
      </c>
      <c r="I129" s="9">
        <f t="shared" si="4"/>
        <v>386</v>
      </c>
      <c r="J129" s="9">
        <f t="shared" si="5"/>
        <v>402</v>
      </c>
      <c r="K129" s="8"/>
      <c r="L129" s="8">
        <v>127.0</v>
      </c>
      <c r="M129" s="8">
        <v>0.0</v>
      </c>
      <c r="N129" s="8">
        <v>0.0</v>
      </c>
      <c r="O129" s="8">
        <v>0.0</v>
      </c>
      <c r="P129" s="8">
        <v>0.0</v>
      </c>
      <c r="Q129" s="8">
        <v>0.0</v>
      </c>
      <c r="R129" s="8">
        <v>0.0</v>
      </c>
      <c r="S129" s="12"/>
      <c r="T129" s="12"/>
      <c r="U129" s="12"/>
      <c r="V129" s="12"/>
      <c r="W129" s="9">
        <v>128.0</v>
      </c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</row>
    <row r="130">
      <c r="A130" s="8"/>
      <c r="B130" s="9" t="s">
        <v>515</v>
      </c>
      <c r="C130" s="9">
        <v>163.0</v>
      </c>
      <c r="D130" s="9" t="s">
        <v>516</v>
      </c>
      <c r="E130" s="8">
        <v>323.0</v>
      </c>
      <c r="F130" s="9">
        <f t="shared" si="1"/>
        <v>339</v>
      </c>
      <c r="G130" s="9">
        <f t="shared" si="2"/>
        <v>355</v>
      </c>
      <c r="H130" s="9">
        <f t="shared" si="3"/>
        <v>371</v>
      </c>
      <c r="I130" s="9">
        <f t="shared" si="4"/>
        <v>387</v>
      </c>
      <c r="J130" s="9">
        <f t="shared" si="5"/>
        <v>403</v>
      </c>
      <c r="K130" s="8"/>
      <c r="L130" s="8">
        <v>128.0</v>
      </c>
      <c r="M130" s="8">
        <v>0.0</v>
      </c>
      <c r="N130" s="8">
        <v>0.0</v>
      </c>
      <c r="O130" s="8">
        <v>0.0</v>
      </c>
      <c r="P130" s="8">
        <v>0.0</v>
      </c>
      <c r="Q130" s="8">
        <v>0.0</v>
      </c>
      <c r="R130" s="8">
        <v>0.0</v>
      </c>
      <c r="S130" s="12"/>
      <c r="T130" s="12"/>
      <c r="U130" s="12"/>
      <c r="V130" s="12"/>
      <c r="W130" s="9">
        <v>129.0</v>
      </c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</row>
    <row r="131">
      <c r="A131" s="8"/>
      <c r="B131" s="9" t="s">
        <v>517</v>
      </c>
      <c r="C131" s="9">
        <v>164.0</v>
      </c>
      <c r="D131" s="9" t="s">
        <v>518</v>
      </c>
      <c r="E131" s="8">
        <v>324.0</v>
      </c>
      <c r="F131" s="9">
        <f t="shared" si="1"/>
        <v>340</v>
      </c>
      <c r="G131" s="9">
        <f t="shared" si="2"/>
        <v>356</v>
      </c>
      <c r="H131" s="9">
        <f t="shared" si="3"/>
        <v>372</v>
      </c>
      <c r="I131" s="9">
        <f t="shared" si="4"/>
        <v>388</v>
      </c>
      <c r="J131" s="9">
        <f t="shared" si="5"/>
        <v>404</v>
      </c>
      <c r="K131" s="8"/>
      <c r="L131" s="8">
        <v>129.0</v>
      </c>
      <c r="M131" s="13" t="s">
        <v>1795</v>
      </c>
      <c r="N131" s="13" t="s">
        <v>1796</v>
      </c>
      <c r="O131" s="13" t="s">
        <v>1797</v>
      </c>
      <c r="P131" s="13" t="s">
        <v>1798</v>
      </c>
      <c r="Q131" s="13" t="s">
        <v>1799</v>
      </c>
      <c r="R131" s="13" t="s">
        <v>1800</v>
      </c>
      <c r="S131" s="12"/>
      <c r="T131" s="12"/>
      <c r="U131" s="12"/>
      <c r="V131" s="12"/>
      <c r="W131" s="9">
        <v>130.0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</row>
    <row r="132">
      <c r="A132" s="8"/>
      <c r="B132" s="9" t="s">
        <v>519</v>
      </c>
      <c r="C132" s="9">
        <v>165.0</v>
      </c>
      <c r="D132" s="9" t="s">
        <v>520</v>
      </c>
      <c r="E132" s="8">
        <v>325.0</v>
      </c>
      <c r="F132" s="9">
        <f t="shared" si="1"/>
        <v>341</v>
      </c>
      <c r="G132" s="9">
        <f t="shared" si="2"/>
        <v>357</v>
      </c>
      <c r="H132" s="9">
        <f t="shared" si="3"/>
        <v>373</v>
      </c>
      <c r="I132" s="9">
        <f t="shared" si="4"/>
        <v>389</v>
      </c>
      <c r="J132" s="9">
        <f t="shared" si="5"/>
        <v>405</v>
      </c>
      <c r="K132" s="8"/>
      <c r="L132" s="8">
        <v>130.0</v>
      </c>
      <c r="M132" s="13" t="s">
        <v>1801</v>
      </c>
      <c r="N132" s="13" t="s">
        <v>1802</v>
      </c>
      <c r="O132" s="13" t="s">
        <v>1803</v>
      </c>
      <c r="P132" s="13" t="s">
        <v>1804</v>
      </c>
      <c r="Q132" s="13" t="s">
        <v>1805</v>
      </c>
      <c r="R132" s="13" t="s">
        <v>1806</v>
      </c>
      <c r="S132" s="12"/>
      <c r="T132" s="12"/>
      <c r="U132" s="12"/>
      <c r="V132" s="12"/>
      <c r="W132" s="9">
        <v>131.0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</row>
    <row r="133">
      <c r="A133" s="8"/>
      <c r="B133" s="9" t="s">
        <v>521</v>
      </c>
      <c r="C133" s="9">
        <v>166.0</v>
      </c>
      <c r="D133" s="9" t="s">
        <v>522</v>
      </c>
      <c r="E133" s="8">
        <v>326.0</v>
      </c>
      <c r="F133" s="9">
        <f t="shared" si="1"/>
        <v>342</v>
      </c>
      <c r="G133" s="9">
        <f t="shared" si="2"/>
        <v>358</v>
      </c>
      <c r="H133" s="9">
        <f t="shared" si="3"/>
        <v>374</v>
      </c>
      <c r="I133" s="9">
        <f t="shared" si="4"/>
        <v>390</v>
      </c>
      <c r="J133" s="9">
        <f t="shared" si="5"/>
        <v>406</v>
      </c>
      <c r="K133" s="8"/>
      <c r="L133" s="8">
        <v>131.0</v>
      </c>
      <c r="M133" s="13" t="s">
        <v>1807</v>
      </c>
      <c r="N133" s="13" t="s">
        <v>1808</v>
      </c>
      <c r="O133" s="13" t="s">
        <v>1809</v>
      </c>
      <c r="P133" s="13" t="s">
        <v>1810</v>
      </c>
      <c r="Q133" s="13" t="s">
        <v>1811</v>
      </c>
      <c r="R133" s="13" t="s">
        <v>1812</v>
      </c>
      <c r="S133" s="12"/>
      <c r="T133" s="12"/>
      <c r="U133" s="12"/>
      <c r="V133" s="12"/>
      <c r="W133" s="9">
        <v>132.0</v>
      </c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</row>
    <row r="134">
      <c r="A134" s="8"/>
      <c r="B134" s="9" t="s">
        <v>524</v>
      </c>
      <c r="C134" s="9">
        <v>167.0</v>
      </c>
      <c r="D134" s="9" t="s">
        <v>525</v>
      </c>
      <c r="E134" s="8">
        <v>327.0</v>
      </c>
      <c r="F134" s="9">
        <f t="shared" si="1"/>
        <v>343</v>
      </c>
      <c r="G134" s="9">
        <f t="shared" si="2"/>
        <v>359</v>
      </c>
      <c r="H134" s="9">
        <f t="shared" si="3"/>
        <v>375</v>
      </c>
      <c r="I134" s="9">
        <f t="shared" si="4"/>
        <v>391</v>
      </c>
      <c r="J134" s="9">
        <f t="shared" si="5"/>
        <v>407</v>
      </c>
      <c r="K134" s="8"/>
      <c r="L134" s="8">
        <v>132.0</v>
      </c>
      <c r="M134" s="13" t="s">
        <v>1813</v>
      </c>
      <c r="N134" s="13" t="s">
        <v>1814</v>
      </c>
      <c r="O134" s="13" t="s">
        <v>1815</v>
      </c>
      <c r="P134" s="13" t="s">
        <v>1816</v>
      </c>
      <c r="Q134" s="13" t="s">
        <v>1817</v>
      </c>
      <c r="R134" s="13" t="s">
        <v>1818</v>
      </c>
      <c r="S134" s="12"/>
      <c r="T134" s="12"/>
      <c r="U134" s="12"/>
      <c r="V134" s="12"/>
      <c r="W134" s="9">
        <v>133.0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</row>
    <row r="135">
      <c r="A135" s="8"/>
      <c r="B135" s="9" t="s">
        <v>531</v>
      </c>
      <c r="C135" s="9">
        <v>168.0</v>
      </c>
      <c r="D135" s="9" t="s">
        <v>532</v>
      </c>
      <c r="E135" s="8">
        <v>328.0</v>
      </c>
      <c r="F135" s="9">
        <f t="shared" si="1"/>
        <v>344</v>
      </c>
      <c r="G135" s="9">
        <f t="shared" si="2"/>
        <v>360</v>
      </c>
      <c r="H135" s="9">
        <f t="shared" si="3"/>
        <v>376</v>
      </c>
      <c r="I135" s="9">
        <f t="shared" si="4"/>
        <v>392</v>
      </c>
      <c r="J135" s="9">
        <f t="shared" si="5"/>
        <v>408</v>
      </c>
      <c r="K135" s="8"/>
      <c r="L135" s="8">
        <v>133.0</v>
      </c>
      <c r="M135" s="13" t="s">
        <v>1819</v>
      </c>
      <c r="N135" s="13" t="s">
        <v>1820</v>
      </c>
      <c r="O135" s="13" t="s">
        <v>1821</v>
      </c>
      <c r="P135" s="13" t="s">
        <v>1822</v>
      </c>
      <c r="Q135" s="13" t="s">
        <v>1823</v>
      </c>
      <c r="R135" s="13" t="s">
        <v>1824</v>
      </c>
      <c r="S135" s="12"/>
      <c r="T135" s="12"/>
      <c r="U135" s="12"/>
      <c r="V135" s="12"/>
      <c r="W135" s="9">
        <v>134.0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</row>
    <row r="136">
      <c r="A136" s="8"/>
      <c r="B136" s="9" t="s">
        <v>535</v>
      </c>
      <c r="C136" s="9">
        <v>169.0</v>
      </c>
      <c r="D136" s="9" t="s">
        <v>536</v>
      </c>
      <c r="E136" s="8">
        <v>329.0</v>
      </c>
      <c r="F136" s="9">
        <f t="shared" si="1"/>
        <v>345</v>
      </c>
      <c r="G136" s="9">
        <f t="shared" si="2"/>
        <v>361</v>
      </c>
      <c r="H136" s="9">
        <f t="shared" si="3"/>
        <v>377</v>
      </c>
      <c r="I136" s="9">
        <f t="shared" si="4"/>
        <v>393</v>
      </c>
      <c r="J136" s="9">
        <f t="shared" si="5"/>
        <v>409</v>
      </c>
      <c r="K136" s="8"/>
      <c r="L136" s="8">
        <v>134.0</v>
      </c>
      <c r="M136" s="13" t="s">
        <v>1825</v>
      </c>
      <c r="N136" s="13" t="s">
        <v>1826</v>
      </c>
      <c r="O136" s="13" t="s">
        <v>1827</v>
      </c>
      <c r="P136" s="13" t="s">
        <v>1828</v>
      </c>
      <c r="Q136" s="13" t="s">
        <v>1829</v>
      </c>
      <c r="R136" s="13" t="s">
        <v>1830</v>
      </c>
      <c r="S136" s="12"/>
      <c r="T136" s="12"/>
      <c r="U136" s="12"/>
      <c r="V136" s="12"/>
      <c r="W136" s="9">
        <v>135.0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</row>
    <row r="137">
      <c r="A137" s="8"/>
      <c r="B137" s="9" t="s">
        <v>539</v>
      </c>
      <c r="C137" s="9">
        <v>170.0</v>
      </c>
      <c r="D137" s="9" t="s">
        <v>540</v>
      </c>
      <c r="E137" s="8">
        <v>330.0</v>
      </c>
      <c r="F137" s="9">
        <f t="shared" si="1"/>
        <v>346</v>
      </c>
      <c r="G137" s="9">
        <f t="shared" si="2"/>
        <v>362</v>
      </c>
      <c r="H137" s="9">
        <f t="shared" si="3"/>
        <v>378</v>
      </c>
      <c r="I137" s="9">
        <f t="shared" si="4"/>
        <v>394</v>
      </c>
      <c r="J137" s="9">
        <f t="shared" si="5"/>
        <v>410</v>
      </c>
      <c r="K137" s="8"/>
      <c r="L137" s="8">
        <v>135.0</v>
      </c>
      <c r="M137" s="13" t="s">
        <v>1831</v>
      </c>
      <c r="N137" s="13" t="s">
        <v>1832</v>
      </c>
      <c r="O137" s="13" t="s">
        <v>1833</v>
      </c>
      <c r="P137" s="13" t="s">
        <v>1834</v>
      </c>
      <c r="Q137" s="13" t="s">
        <v>1835</v>
      </c>
      <c r="R137" s="13" t="s">
        <v>1836</v>
      </c>
      <c r="S137" s="12"/>
      <c r="T137" s="12"/>
      <c r="U137" s="12"/>
      <c r="V137" s="12"/>
      <c r="W137" s="9">
        <v>136.0</v>
      </c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</row>
    <row r="138">
      <c r="A138" s="8"/>
      <c r="B138" s="9" t="s">
        <v>543</v>
      </c>
      <c r="C138" s="9">
        <v>171.0</v>
      </c>
      <c r="D138" s="9" t="s">
        <v>544</v>
      </c>
      <c r="E138" s="8">
        <v>331.0</v>
      </c>
      <c r="F138" s="9">
        <f t="shared" si="1"/>
        <v>347</v>
      </c>
      <c r="G138" s="9">
        <f t="shared" si="2"/>
        <v>363</v>
      </c>
      <c r="H138" s="9">
        <f t="shared" si="3"/>
        <v>379</v>
      </c>
      <c r="I138" s="9">
        <f t="shared" si="4"/>
        <v>395</v>
      </c>
      <c r="J138" s="9">
        <f t="shared" si="5"/>
        <v>411</v>
      </c>
      <c r="K138" s="8"/>
      <c r="L138" s="8">
        <v>136.0</v>
      </c>
      <c r="M138" s="13" t="s">
        <v>1837</v>
      </c>
      <c r="N138" s="13" t="s">
        <v>1838</v>
      </c>
      <c r="O138" s="13" t="s">
        <v>1839</v>
      </c>
      <c r="P138" s="13" t="s">
        <v>1840</v>
      </c>
      <c r="Q138" s="13" t="s">
        <v>1841</v>
      </c>
      <c r="R138" s="13" t="s">
        <v>1842</v>
      </c>
      <c r="S138" s="12"/>
      <c r="T138" s="12"/>
      <c r="U138" s="12"/>
      <c r="V138" s="12"/>
      <c r="W138" s="9">
        <v>137.0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</row>
    <row r="139">
      <c r="A139" s="8"/>
      <c r="B139" s="9" t="s">
        <v>547</v>
      </c>
      <c r="C139" s="9">
        <v>172.0</v>
      </c>
      <c r="D139" s="9" t="s">
        <v>548</v>
      </c>
      <c r="E139" s="8">
        <v>332.0</v>
      </c>
      <c r="F139" s="9">
        <f t="shared" si="1"/>
        <v>348</v>
      </c>
      <c r="G139" s="9">
        <f t="shared" si="2"/>
        <v>364</v>
      </c>
      <c r="H139" s="9">
        <f t="shared" si="3"/>
        <v>380</v>
      </c>
      <c r="I139" s="9">
        <f t="shared" si="4"/>
        <v>396</v>
      </c>
      <c r="J139" s="9">
        <f t="shared" si="5"/>
        <v>412</v>
      </c>
      <c r="K139" s="8"/>
      <c r="L139" s="8">
        <v>137.0</v>
      </c>
      <c r="M139" s="13" t="s">
        <v>1843</v>
      </c>
      <c r="N139" s="13" t="s">
        <v>1844</v>
      </c>
      <c r="O139" s="13" t="s">
        <v>1845</v>
      </c>
      <c r="P139" s="13" t="s">
        <v>1846</v>
      </c>
      <c r="Q139" s="13" t="s">
        <v>1847</v>
      </c>
      <c r="R139" s="13" t="s">
        <v>1848</v>
      </c>
      <c r="S139" s="12"/>
      <c r="T139" s="12"/>
      <c r="U139" s="12"/>
      <c r="V139" s="12"/>
      <c r="W139" s="9">
        <v>138.0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</row>
    <row r="140">
      <c r="A140" s="8"/>
      <c r="B140" s="9" t="s">
        <v>551</v>
      </c>
      <c r="C140" s="9">
        <f t="array" ref="C140:C151">SEQUENCE(12,1,C128+16)</f>
        <v>177</v>
      </c>
      <c r="D140" s="9" t="s">
        <v>552</v>
      </c>
      <c r="E140" s="9">
        <f t="array" ref="E140:E151">SEQUENCE(12,1,E128+32)</f>
        <v>353</v>
      </c>
      <c r="F140" s="9">
        <f t="shared" si="1"/>
        <v>369</v>
      </c>
      <c r="G140" s="9">
        <f t="shared" si="2"/>
        <v>385</v>
      </c>
      <c r="H140" s="9">
        <f t="shared" si="3"/>
        <v>401</v>
      </c>
      <c r="I140" s="9">
        <f t="shared" si="4"/>
        <v>417</v>
      </c>
      <c r="J140" s="9">
        <f t="shared" si="5"/>
        <v>433</v>
      </c>
      <c r="K140" s="8"/>
      <c r="L140" s="8">
        <v>138.0</v>
      </c>
      <c r="M140" s="13" t="s">
        <v>1849</v>
      </c>
      <c r="N140" s="13" t="s">
        <v>1850</v>
      </c>
      <c r="O140" s="13" t="s">
        <v>1851</v>
      </c>
      <c r="P140" s="13" t="s">
        <v>1852</v>
      </c>
      <c r="Q140" s="13" t="s">
        <v>1853</v>
      </c>
      <c r="R140" s="13" t="s">
        <v>1854</v>
      </c>
      <c r="S140" s="12"/>
      <c r="T140" s="12"/>
      <c r="U140" s="12"/>
      <c r="V140" s="12"/>
      <c r="W140" s="9">
        <v>139.0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</row>
    <row r="141">
      <c r="A141" s="8"/>
      <c r="B141" s="9" t="s">
        <v>555</v>
      </c>
      <c r="C141" s="9">
        <v>178.0</v>
      </c>
      <c r="D141" s="9" t="s">
        <v>556</v>
      </c>
      <c r="E141" s="8">
        <v>354.0</v>
      </c>
      <c r="F141" s="9">
        <f t="shared" si="1"/>
        <v>370</v>
      </c>
      <c r="G141" s="9">
        <f t="shared" si="2"/>
        <v>386</v>
      </c>
      <c r="H141" s="9">
        <f t="shared" si="3"/>
        <v>402</v>
      </c>
      <c r="I141" s="9">
        <f t="shared" si="4"/>
        <v>418</v>
      </c>
      <c r="J141" s="9">
        <f t="shared" si="5"/>
        <v>434</v>
      </c>
      <c r="K141" s="8"/>
      <c r="L141" s="8">
        <v>139.0</v>
      </c>
      <c r="M141" s="13" t="s">
        <v>1855</v>
      </c>
      <c r="N141" s="13" t="s">
        <v>1856</v>
      </c>
      <c r="O141" s="13" t="s">
        <v>1857</v>
      </c>
      <c r="P141" s="13" t="s">
        <v>1858</v>
      </c>
      <c r="Q141" s="13" t="s">
        <v>1859</v>
      </c>
      <c r="R141" s="13" t="s">
        <v>1860</v>
      </c>
      <c r="S141" s="12"/>
      <c r="T141" s="12"/>
      <c r="U141" s="12"/>
      <c r="V141" s="12"/>
      <c r="W141" s="9">
        <v>140.0</v>
      </c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</row>
    <row r="142">
      <c r="A142" s="8"/>
      <c r="B142" s="9" t="s">
        <v>559</v>
      </c>
      <c r="C142" s="9">
        <v>179.0</v>
      </c>
      <c r="D142" s="9" t="s">
        <v>560</v>
      </c>
      <c r="E142" s="8">
        <v>355.0</v>
      </c>
      <c r="F142" s="9">
        <f t="shared" si="1"/>
        <v>371</v>
      </c>
      <c r="G142" s="9">
        <f t="shared" si="2"/>
        <v>387</v>
      </c>
      <c r="H142" s="9">
        <f t="shared" si="3"/>
        <v>403</v>
      </c>
      <c r="I142" s="9">
        <f t="shared" si="4"/>
        <v>419</v>
      </c>
      <c r="J142" s="9">
        <f t="shared" si="5"/>
        <v>435</v>
      </c>
      <c r="K142" s="8"/>
      <c r="L142" s="8">
        <v>140.0</v>
      </c>
      <c r="M142" s="13" t="s">
        <v>1861</v>
      </c>
      <c r="N142" s="13" t="s">
        <v>1862</v>
      </c>
      <c r="O142" s="13" t="s">
        <v>1863</v>
      </c>
      <c r="P142" s="13" t="s">
        <v>1864</v>
      </c>
      <c r="Q142" s="13" t="s">
        <v>1865</v>
      </c>
      <c r="R142" s="13" t="s">
        <v>1866</v>
      </c>
      <c r="S142" s="12"/>
      <c r="T142" s="12"/>
      <c r="U142" s="12"/>
      <c r="V142" s="12"/>
      <c r="W142" s="9">
        <v>141.0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</row>
    <row r="143">
      <c r="A143" s="8"/>
      <c r="B143" s="9" t="s">
        <v>563</v>
      </c>
      <c r="C143" s="9">
        <v>180.0</v>
      </c>
      <c r="D143" s="9" t="s">
        <v>564</v>
      </c>
      <c r="E143" s="8">
        <v>356.0</v>
      </c>
      <c r="F143" s="9">
        <f t="shared" si="1"/>
        <v>372</v>
      </c>
      <c r="G143" s="9">
        <f t="shared" si="2"/>
        <v>388</v>
      </c>
      <c r="H143" s="9">
        <f t="shared" si="3"/>
        <v>404</v>
      </c>
      <c r="I143" s="9">
        <f t="shared" si="4"/>
        <v>420</v>
      </c>
      <c r="J143" s="9">
        <f t="shared" si="5"/>
        <v>436</v>
      </c>
      <c r="K143" s="8"/>
      <c r="L143" s="8">
        <v>141.0</v>
      </c>
      <c r="M143" s="8">
        <v>0.0</v>
      </c>
      <c r="N143" s="8">
        <v>0.0</v>
      </c>
      <c r="O143" s="8">
        <v>0.0</v>
      </c>
      <c r="P143" s="8">
        <v>0.0</v>
      </c>
      <c r="Q143" s="8">
        <v>0.0</v>
      </c>
      <c r="R143" s="8">
        <v>0.0</v>
      </c>
      <c r="S143" s="12"/>
      <c r="T143" s="12"/>
      <c r="U143" s="12"/>
      <c r="V143" s="12"/>
      <c r="W143" s="9">
        <v>142.0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</row>
    <row r="144">
      <c r="A144" s="8"/>
      <c r="B144" s="9" t="s">
        <v>567</v>
      </c>
      <c r="C144" s="9">
        <v>181.0</v>
      </c>
      <c r="D144" s="9" t="s">
        <v>568</v>
      </c>
      <c r="E144" s="8">
        <v>357.0</v>
      </c>
      <c r="F144" s="9">
        <f t="shared" si="1"/>
        <v>373</v>
      </c>
      <c r="G144" s="9">
        <f t="shared" si="2"/>
        <v>389</v>
      </c>
      <c r="H144" s="9">
        <f t="shared" si="3"/>
        <v>405</v>
      </c>
      <c r="I144" s="9">
        <f t="shared" si="4"/>
        <v>421</v>
      </c>
      <c r="J144" s="9">
        <f t="shared" si="5"/>
        <v>437</v>
      </c>
      <c r="K144" s="8"/>
      <c r="L144" s="8">
        <v>142.0</v>
      </c>
      <c r="M144" s="8">
        <v>0.0</v>
      </c>
      <c r="N144" s="8">
        <v>0.0</v>
      </c>
      <c r="O144" s="8">
        <v>0.0</v>
      </c>
      <c r="P144" s="8">
        <v>0.0</v>
      </c>
      <c r="Q144" s="8">
        <v>0.0</v>
      </c>
      <c r="R144" s="8">
        <v>0.0</v>
      </c>
      <c r="S144" s="12"/>
      <c r="T144" s="12"/>
      <c r="U144" s="12"/>
      <c r="V144" s="12"/>
      <c r="W144" s="9">
        <v>143.0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</row>
    <row r="145">
      <c r="A145" s="8"/>
      <c r="B145" s="9" t="s">
        <v>571</v>
      </c>
      <c r="C145" s="9">
        <v>182.0</v>
      </c>
      <c r="D145" s="9" t="s">
        <v>572</v>
      </c>
      <c r="E145" s="8">
        <v>358.0</v>
      </c>
      <c r="F145" s="9">
        <f t="shared" si="1"/>
        <v>374</v>
      </c>
      <c r="G145" s="9">
        <f t="shared" si="2"/>
        <v>390</v>
      </c>
      <c r="H145" s="9">
        <f t="shared" si="3"/>
        <v>406</v>
      </c>
      <c r="I145" s="9">
        <f t="shared" si="4"/>
        <v>422</v>
      </c>
      <c r="J145" s="9">
        <f t="shared" si="5"/>
        <v>438</v>
      </c>
      <c r="K145" s="8"/>
      <c r="L145" s="8">
        <v>143.0</v>
      </c>
      <c r="M145" s="8">
        <v>0.0</v>
      </c>
      <c r="N145" s="8">
        <v>0.0</v>
      </c>
      <c r="O145" s="8">
        <v>0.0</v>
      </c>
      <c r="P145" s="8">
        <v>0.0</v>
      </c>
      <c r="Q145" s="8">
        <v>0.0</v>
      </c>
      <c r="R145" s="8">
        <v>0.0</v>
      </c>
      <c r="S145" s="12"/>
      <c r="T145" s="12"/>
      <c r="U145" s="12"/>
      <c r="V145" s="12"/>
      <c r="W145" s="9">
        <v>144.0</v>
      </c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</row>
    <row r="146">
      <c r="A146" s="8"/>
      <c r="B146" s="9" t="s">
        <v>575</v>
      </c>
      <c r="C146" s="9">
        <v>183.0</v>
      </c>
      <c r="D146" s="9" t="s">
        <v>576</v>
      </c>
      <c r="E146" s="8">
        <v>359.0</v>
      </c>
      <c r="F146" s="9">
        <f t="shared" si="1"/>
        <v>375</v>
      </c>
      <c r="G146" s="9">
        <f t="shared" si="2"/>
        <v>391</v>
      </c>
      <c r="H146" s="9">
        <f t="shared" si="3"/>
        <v>407</v>
      </c>
      <c r="I146" s="9">
        <f t="shared" si="4"/>
        <v>423</v>
      </c>
      <c r="J146" s="9">
        <f t="shared" si="5"/>
        <v>439</v>
      </c>
      <c r="K146" s="8"/>
      <c r="L146" s="8">
        <v>144.0</v>
      </c>
      <c r="M146" s="8">
        <v>0.0</v>
      </c>
      <c r="N146" s="8">
        <v>0.0</v>
      </c>
      <c r="O146" s="8">
        <v>0.0</v>
      </c>
      <c r="P146" s="8">
        <v>0.0</v>
      </c>
      <c r="Q146" s="8">
        <v>0.0</v>
      </c>
      <c r="R146" s="8">
        <v>0.0</v>
      </c>
      <c r="S146" s="12"/>
      <c r="T146" s="12"/>
      <c r="U146" s="12"/>
      <c r="V146" s="12"/>
      <c r="W146" s="9">
        <v>145.0</v>
      </c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</row>
    <row r="147">
      <c r="B147" s="9" t="s">
        <v>577</v>
      </c>
      <c r="C147" s="9">
        <v>184.0</v>
      </c>
      <c r="D147" s="9" t="s">
        <v>578</v>
      </c>
      <c r="E147" s="9">
        <v>360.0</v>
      </c>
      <c r="F147" s="9">
        <f t="shared" si="1"/>
        <v>376</v>
      </c>
      <c r="G147" s="9">
        <f t="shared" si="2"/>
        <v>392</v>
      </c>
      <c r="H147" s="9">
        <f t="shared" si="3"/>
        <v>408</v>
      </c>
      <c r="I147" s="9">
        <f t="shared" si="4"/>
        <v>424</v>
      </c>
      <c r="J147" s="9">
        <f t="shared" si="5"/>
        <v>440</v>
      </c>
      <c r="L147" s="8">
        <v>145.0</v>
      </c>
      <c r="M147" s="13" t="s">
        <v>1867</v>
      </c>
      <c r="N147" s="13" t="s">
        <v>1868</v>
      </c>
      <c r="O147" s="13" t="s">
        <v>1869</v>
      </c>
      <c r="P147" s="13" t="s">
        <v>1870</v>
      </c>
      <c r="Q147" s="13" t="s">
        <v>1871</v>
      </c>
      <c r="R147" s="13" t="s">
        <v>1872</v>
      </c>
      <c r="S147" s="12"/>
      <c r="T147" s="12"/>
      <c r="U147" s="12"/>
      <c r="V147" s="12"/>
      <c r="W147" s="12">
        <v>146.0</v>
      </c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</row>
    <row r="148">
      <c r="B148" s="9" t="s">
        <v>579</v>
      </c>
      <c r="C148" s="9">
        <v>185.0</v>
      </c>
      <c r="D148" s="9" t="s">
        <v>580</v>
      </c>
      <c r="E148" s="9">
        <v>361.0</v>
      </c>
      <c r="F148" s="9">
        <f t="shared" si="1"/>
        <v>377</v>
      </c>
      <c r="G148" s="9">
        <f t="shared" si="2"/>
        <v>393</v>
      </c>
      <c r="H148" s="9">
        <f t="shared" si="3"/>
        <v>409</v>
      </c>
      <c r="I148" s="9">
        <f t="shared" si="4"/>
        <v>425</v>
      </c>
      <c r="J148" s="9">
        <f t="shared" si="5"/>
        <v>441</v>
      </c>
      <c r="L148" s="8">
        <v>146.0</v>
      </c>
      <c r="M148" s="13" t="s">
        <v>1873</v>
      </c>
      <c r="N148" s="13" t="s">
        <v>1874</v>
      </c>
      <c r="O148" s="13" t="s">
        <v>1875</v>
      </c>
      <c r="P148" s="13" t="s">
        <v>1876</v>
      </c>
      <c r="Q148" s="13" t="s">
        <v>1877</v>
      </c>
      <c r="R148" s="13" t="s">
        <v>1878</v>
      </c>
      <c r="S148" s="12"/>
      <c r="T148" s="12"/>
      <c r="U148" s="12"/>
      <c r="V148" s="12"/>
      <c r="W148" s="12">
        <v>147.0</v>
      </c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</row>
    <row r="149">
      <c r="B149" s="9" t="s">
        <v>581</v>
      </c>
      <c r="C149" s="9">
        <v>186.0</v>
      </c>
      <c r="D149" s="9" t="s">
        <v>582</v>
      </c>
      <c r="E149" s="9">
        <v>362.0</v>
      </c>
      <c r="F149" s="9">
        <f t="shared" si="1"/>
        <v>378</v>
      </c>
      <c r="G149" s="9">
        <f t="shared" si="2"/>
        <v>394</v>
      </c>
      <c r="H149" s="9">
        <f t="shared" si="3"/>
        <v>410</v>
      </c>
      <c r="I149" s="9">
        <f t="shared" si="4"/>
        <v>426</v>
      </c>
      <c r="J149" s="9">
        <f t="shared" si="5"/>
        <v>442</v>
      </c>
      <c r="L149" s="8">
        <v>147.0</v>
      </c>
      <c r="M149" s="13" t="s">
        <v>1879</v>
      </c>
      <c r="N149" s="13" t="s">
        <v>1880</v>
      </c>
      <c r="O149" s="13" t="s">
        <v>1881</v>
      </c>
      <c r="P149" s="13" t="s">
        <v>1882</v>
      </c>
      <c r="Q149" s="13" t="s">
        <v>1883</v>
      </c>
      <c r="R149" s="13" t="s">
        <v>1884</v>
      </c>
      <c r="S149" s="12"/>
      <c r="T149" s="12"/>
      <c r="U149" s="12"/>
      <c r="V149" s="12"/>
      <c r="W149" s="12">
        <v>148.0</v>
      </c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</row>
    <row r="150">
      <c r="B150" s="9" t="s">
        <v>583</v>
      </c>
      <c r="C150" s="9">
        <v>187.0</v>
      </c>
      <c r="D150" s="9" t="s">
        <v>584</v>
      </c>
      <c r="E150" s="9">
        <v>363.0</v>
      </c>
      <c r="F150" s="9">
        <f t="shared" si="1"/>
        <v>379</v>
      </c>
      <c r="G150" s="9">
        <f t="shared" si="2"/>
        <v>395</v>
      </c>
      <c r="H150" s="9">
        <f t="shared" si="3"/>
        <v>411</v>
      </c>
      <c r="I150" s="9">
        <f t="shared" si="4"/>
        <v>427</v>
      </c>
      <c r="J150" s="9">
        <f t="shared" si="5"/>
        <v>443</v>
      </c>
      <c r="L150" s="8">
        <v>148.0</v>
      </c>
      <c r="M150" s="13" t="s">
        <v>1885</v>
      </c>
      <c r="N150" s="13" t="s">
        <v>1886</v>
      </c>
      <c r="O150" s="13" t="s">
        <v>1887</v>
      </c>
      <c r="P150" s="13" t="s">
        <v>1888</v>
      </c>
      <c r="Q150" s="13" t="s">
        <v>1889</v>
      </c>
      <c r="R150" s="13" t="s">
        <v>1890</v>
      </c>
      <c r="S150" s="12"/>
      <c r="T150" s="12"/>
      <c r="U150" s="12"/>
      <c r="V150" s="12"/>
      <c r="W150" s="12">
        <v>149.0</v>
      </c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</row>
    <row r="151">
      <c r="B151" s="9" t="s">
        <v>590</v>
      </c>
      <c r="C151" s="9">
        <v>188.0</v>
      </c>
      <c r="D151" s="9" t="s">
        <v>591</v>
      </c>
      <c r="E151" s="9">
        <v>364.0</v>
      </c>
      <c r="F151" s="9">
        <f t="shared" si="1"/>
        <v>380</v>
      </c>
      <c r="G151" s="9">
        <f t="shared" si="2"/>
        <v>396</v>
      </c>
      <c r="H151" s="9">
        <f t="shared" si="3"/>
        <v>412</v>
      </c>
      <c r="I151" s="9">
        <f t="shared" si="4"/>
        <v>428</v>
      </c>
      <c r="J151" s="9">
        <f t="shared" si="5"/>
        <v>444</v>
      </c>
      <c r="L151" s="8">
        <v>149.0</v>
      </c>
      <c r="M151" s="13" t="s">
        <v>1891</v>
      </c>
      <c r="N151" s="13" t="s">
        <v>1892</v>
      </c>
      <c r="O151" s="13" t="s">
        <v>1893</v>
      </c>
      <c r="P151" s="13" t="s">
        <v>1894</v>
      </c>
      <c r="Q151" s="13" t="s">
        <v>1895</v>
      </c>
      <c r="R151" s="13" t="s">
        <v>1896</v>
      </c>
      <c r="S151" s="12"/>
      <c r="T151" s="12"/>
      <c r="U151" s="12"/>
      <c r="V151" s="12"/>
      <c r="W151" s="12">
        <v>150.0</v>
      </c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</row>
    <row r="152">
      <c r="L152" s="8">
        <v>150.0</v>
      </c>
      <c r="M152" s="13" t="s">
        <v>1897</v>
      </c>
      <c r="N152" s="13" t="s">
        <v>1898</v>
      </c>
      <c r="O152" s="13" t="s">
        <v>1899</v>
      </c>
      <c r="P152" s="13" t="s">
        <v>1900</v>
      </c>
      <c r="Q152" s="13" t="s">
        <v>1901</v>
      </c>
      <c r="R152" s="13" t="s">
        <v>1902</v>
      </c>
      <c r="S152" s="12"/>
      <c r="T152" s="12"/>
      <c r="U152" s="12"/>
      <c r="V152" s="12"/>
      <c r="W152" s="12">
        <v>151.0</v>
      </c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</row>
    <row r="153">
      <c r="L153" s="8">
        <v>151.0</v>
      </c>
      <c r="M153" s="13" t="s">
        <v>1903</v>
      </c>
      <c r="N153" s="13" t="s">
        <v>1904</v>
      </c>
      <c r="O153" s="13" t="s">
        <v>1905</v>
      </c>
      <c r="P153" s="13" t="s">
        <v>1906</v>
      </c>
      <c r="Q153" s="13" t="s">
        <v>1907</v>
      </c>
      <c r="R153" s="13" t="s">
        <v>1908</v>
      </c>
      <c r="S153" s="12"/>
      <c r="T153" s="12"/>
      <c r="U153" s="12"/>
      <c r="V153" s="12"/>
      <c r="W153" s="12">
        <v>152.0</v>
      </c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</row>
    <row r="154">
      <c r="L154" s="8">
        <v>152.0</v>
      </c>
      <c r="M154" s="13" t="s">
        <v>1909</v>
      </c>
      <c r="N154" s="13" t="s">
        <v>1910</v>
      </c>
      <c r="O154" s="13" t="s">
        <v>1911</v>
      </c>
      <c r="P154" s="13" t="s">
        <v>1912</v>
      </c>
      <c r="Q154" s="13" t="s">
        <v>1913</v>
      </c>
      <c r="R154" s="13" t="s">
        <v>1914</v>
      </c>
      <c r="S154" s="12"/>
      <c r="T154" s="12"/>
      <c r="U154" s="12"/>
      <c r="V154" s="12"/>
      <c r="W154" s="12">
        <v>153.0</v>
      </c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</row>
    <row r="155">
      <c r="L155" s="8">
        <v>153.0</v>
      </c>
      <c r="M155" s="13" t="s">
        <v>1915</v>
      </c>
      <c r="N155" s="13" t="s">
        <v>1916</v>
      </c>
      <c r="O155" s="13" t="s">
        <v>1917</v>
      </c>
      <c r="P155" s="13" t="s">
        <v>1918</v>
      </c>
      <c r="Q155" s="13" t="s">
        <v>1919</v>
      </c>
      <c r="R155" s="13" t="s">
        <v>1920</v>
      </c>
      <c r="S155" s="12"/>
      <c r="T155" s="12"/>
      <c r="U155" s="12"/>
      <c r="V155" s="12"/>
      <c r="W155" s="12">
        <v>154.0</v>
      </c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</row>
    <row r="156">
      <c r="L156" s="8">
        <v>154.0</v>
      </c>
      <c r="M156" s="13" t="s">
        <v>1921</v>
      </c>
      <c r="N156" s="13" t="s">
        <v>1922</v>
      </c>
      <c r="O156" s="13" t="s">
        <v>1923</v>
      </c>
      <c r="P156" s="13" t="s">
        <v>1924</v>
      </c>
      <c r="Q156" s="13" t="s">
        <v>1925</v>
      </c>
      <c r="R156" s="13" t="s">
        <v>1926</v>
      </c>
      <c r="S156" s="12"/>
      <c r="T156" s="12"/>
      <c r="U156" s="12"/>
      <c r="V156" s="12"/>
      <c r="W156" s="12">
        <v>155.0</v>
      </c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</row>
    <row r="157">
      <c r="L157" s="8">
        <v>155.0</v>
      </c>
      <c r="M157" s="13" t="s">
        <v>1927</v>
      </c>
      <c r="N157" s="13" t="s">
        <v>1928</v>
      </c>
      <c r="O157" s="13" t="s">
        <v>1929</v>
      </c>
      <c r="P157" s="13" t="s">
        <v>1930</v>
      </c>
      <c r="Q157" s="13" t="s">
        <v>1931</v>
      </c>
      <c r="R157" s="13" t="s">
        <v>1932</v>
      </c>
      <c r="S157" s="12"/>
      <c r="T157" s="12"/>
      <c r="U157" s="12"/>
      <c r="V157" s="12"/>
      <c r="W157" s="12">
        <v>156.0</v>
      </c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</row>
    <row r="158">
      <c r="L158" s="8">
        <v>156.0</v>
      </c>
      <c r="M158" s="13" t="s">
        <v>1933</v>
      </c>
      <c r="N158" s="13" t="s">
        <v>1934</v>
      </c>
      <c r="O158" s="13" t="s">
        <v>1935</v>
      </c>
      <c r="P158" s="13" t="s">
        <v>1936</v>
      </c>
      <c r="Q158" s="13" t="s">
        <v>1937</v>
      </c>
      <c r="R158" s="13" t="s">
        <v>1938</v>
      </c>
      <c r="S158" s="12"/>
      <c r="T158" s="12"/>
      <c r="U158" s="12"/>
      <c r="V158" s="12"/>
      <c r="W158" s="12">
        <v>157.0</v>
      </c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</row>
    <row r="159">
      <c r="L159" s="8">
        <v>157.0</v>
      </c>
      <c r="M159" s="8">
        <v>0.0</v>
      </c>
      <c r="N159" s="8">
        <v>0.0</v>
      </c>
      <c r="O159" s="8">
        <v>0.0</v>
      </c>
      <c r="P159" s="8">
        <v>0.0</v>
      </c>
      <c r="Q159" s="8">
        <v>0.0</v>
      </c>
      <c r="R159" s="8">
        <v>0.0</v>
      </c>
      <c r="S159" s="12"/>
      <c r="T159" s="12"/>
      <c r="U159" s="12"/>
      <c r="V159" s="12"/>
      <c r="W159" s="12">
        <v>158.0</v>
      </c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</row>
    <row r="160">
      <c r="L160" s="8">
        <v>158.0</v>
      </c>
      <c r="M160" s="8">
        <v>0.0</v>
      </c>
      <c r="N160" s="8">
        <v>0.0</v>
      </c>
      <c r="O160" s="8">
        <v>0.0</v>
      </c>
      <c r="P160" s="8">
        <v>0.0</v>
      </c>
      <c r="Q160" s="8">
        <v>0.0</v>
      </c>
      <c r="R160" s="8">
        <v>0.0</v>
      </c>
      <c r="S160" s="12"/>
      <c r="T160" s="12"/>
      <c r="U160" s="12"/>
      <c r="V160" s="12"/>
      <c r="W160" s="12">
        <v>159.0</v>
      </c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</row>
    <row r="161">
      <c r="L161" s="8">
        <v>159.0</v>
      </c>
      <c r="M161" s="8">
        <v>0.0</v>
      </c>
      <c r="N161" s="8">
        <v>0.0</v>
      </c>
      <c r="O161" s="8">
        <v>0.0</v>
      </c>
      <c r="P161" s="8">
        <v>0.0</v>
      </c>
      <c r="Q161" s="8">
        <v>0.0</v>
      </c>
      <c r="R161" s="8">
        <v>0.0</v>
      </c>
      <c r="S161" s="12"/>
      <c r="T161" s="12"/>
      <c r="U161" s="12"/>
      <c r="V161" s="12"/>
      <c r="W161" s="12">
        <v>160.0</v>
      </c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</row>
    <row r="162">
      <c r="L162" s="8">
        <v>160.0</v>
      </c>
      <c r="M162" s="8">
        <v>0.0</v>
      </c>
      <c r="N162" s="8">
        <v>0.0</v>
      </c>
      <c r="O162" s="8">
        <v>0.0</v>
      </c>
      <c r="P162" s="8">
        <v>0.0</v>
      </c>
      <c r="Q162" s="8">
        <v>0.0</v>
      </c>
      <c r="R162" s="8">
        <v>0.0</v>
      </c>
      <c r="S162" s="12"/>
      <c r="T162" s="12"/>
      <c r="U162" s="12"/>
      <c r="V162" s="12"/>
      <c r="W162" s="12">
        <v>161.0</v>
      </c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</row>
    <row r="163">
      <c r="L163" s="8">
        <v>161.0</v>
      </c>
      <c r="M163" s="13" t="s">
        <v>1939</v>
      </c>
      <c r="N163" s="13" t="s">
        <v>1940</v>
      </c>
      <c r="O163" s="13" t="s">
        <v>1941</v>
      </c>
      <c r="P163" s="13" t="s">
        <v>1942</v>
      </c>
      <c r="Q163" s="13" t="s">
        <v>1943</v>
      </c>
      <c r="R163" s="13" t="s">
        <v>1944</v>
      </c>
      <c r="S163" s="12"/>
      <c r="T163" s="12"/>
      <c r="U163" s="12"/>
      <c r="V163" s="12"/>
      <c r="W163" s="12">
        <v>162.0</v>
      </c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</row>
    <row r="164">
      <c r="L164" s="8">
        <v>162.0</v>
      </c>
      <c r="M164" s="13" t="s">
        <v>1945</v>
      </c>
      <c r="N164" s="13" t="s">
        <v>1946</v>
      </c>
      <c r="O164" s="13" t="s">
        <v>1947</v>
      </c>
      <c r="P164" s="13" t="s">
        <v>1948</v>
      </c>
      <c r="Q164" s="13" t="s">
        <v>1949</v>
      </c>
      <c r="R164" s="13" t="s">
        <v>1950</v>
      </c>
      <c r="S164" s="12"/>
      <c r="T164" s="12"/>
      <c r="U164" s="12"/>
      <c r="V164" s="12"/>
      <c r="W164" s="12">
        <v>163.0</v>
      </c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</row>
    <row r="165">
      <c r="L165" s="8">
        <v>163.0</v>
      </c>
      <c r="M165" s="13" t="s">
        <v>1951</v>
      </c>
      <c r="N165" s="13" t="s">
        <v>1952</v>
      </c>
      <c r="O165" s="13" t="s">
        <v>1953</v>
      </c>
      <c r="P165" s="13" t="s">
        <v>1954</v>
      </c>
      <c r="Q165" s="13" t="s">
        <v>1955</v>
      </c>
      <c r="R165" s="13" t="s">
        <v>1956</v>
      </c>
      <c r="S165" s="12"/>
      <c r="T165" s="12"/>
      <c r="U165" s="12"/>
      <c r="V165" s="12"/>
      <c r="W165" s="12">
        <v>164.0</v>
      </c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</row>
    <row r="166">
      <c r="L166" s="8">
        <v>164.0</v>
      </c>
      <c r="M166" s="13" t="s">
        <v>1957</v>
      </c>
      <c r="N166" s="13" t="s">
        <v>1958</v>
      </c>
      <c r="O166" s="13" t="s">
        <v>1959</v>
      </c>
      <c r="P166" s="13" t="s">
        <v>1960</v>
      </c>
      <c r="Q166" s="13" t="s">
        <v>1961</v>
      </c>
      <c r="R166" s="13" t="s">
        <v>1962</v>
      </c>
      <c r="S166" s="12"/>
      <c r="T166" s="12"/>
      <c r="U166" s="12"/>
      <c r="V166" s="12"/>
      <c r="W166" s="12">
        <v>165.0</v>
      </c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</row>
    <row r="167">
      <c r="L167" s="8">
        <v>165.0</v>
      </c>
      <c r="M167" s="13" t="s">
        <v>1963</v>
      </c>
      <c r="N167" s="13" t="s">
        <v>1964</v>
      </c>
      <c r="O167" s="13" t="s">
        <v>1965</v>
      </c>
      <c r="P167" s="13" t="s">
        <v>1966</v>
      </c>
      <c r="Q167" s="13" t="s">
        <v>1967</v>
      </c>
      <c r="R167" s="13" t="s">
        <v>1968</v>
      </c>
      <c r="S167" s="12"/>
      <c r="T167" s="12"/>
      <c r="U167" s="12"/>
      <c r="V167" s="12"/>
      <c r="W167" s="12">
        <v>166.0</v>
      </c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</row>
    <row r="168">
      <c r="L168" s="8">
        <v>166.0</v>
      </c>
      <c r="M168" s="13" t="s">
        <v>1969</v>
      </c>
      <c r="N168" s="13" t="s">
        <v>1970</v>
      </c>
      <c r="O168" s="13" t="s">
        <v>1971</v>
      </c>
      <c r="P168" s="13" t="s">
        <v>1972</v>
      </c>
      <c r="Q168" s="13" t="s">
        <v>1973</v>
      </c>
      <c r="R168" s="13" t="s">
        <v>1974</v>
      </c>
      <c r="S168" s="12"/>
      <c r="T168" s="12"/>
      <c r="U168" s="12"/>
      <c r="V168" s="12"/>
      <c r="W168" s="12">
        <v>167.0</v>
      </c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</row>
    <row r="169">
      <c r="L169" s="8">
        <v>167.0</v>
      </c>
      <c r="M169" s="13" t="s">
        <v>1975</v>
      </c>
      <c r="N169" s="13" t="s">
        <v>1976</v>
      </c>
      <c r="O169" s="13" t="s">
        <v>1977</v>
      </c>
      <c r="P169" s="13" t="s">
        <v>1978</v>
      </c>
      <c r="Q169" s="13" t="s">
        <v>1979</v>
      </c>
      <c r="R169" s="13" t="s">
        <v>1980</v>
      </c>
      <c r="S169" s="12"/>
      <c r="T169" s="12"/>
      <c r="U169" s="12"/>
      <c r="V169" s="12"/>
      <c r="W169" s="12">
        <v>168.0</v>
      </c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</row>
    <row r="170">
      <c r="L170" s="8">
        <v>168.0</v>
      </c>
      <c r="M170" s="13" t="s">
        <v>1981</v>
      </c>
      <c r="N170" s="13" t="s">
        <v>1982</v>
      </c>
      <c r="O170" s="13" t="s">
        <v>1983</v>
      </c>
      <c r="P170" s="13" t="s">
        <v>1984</v>
      </c>
      <c r="Q170" s="13" t="s">
        <v>1985</v>
      </c>
      <c r="R170" s="13" t="s">
        <v>1986</v>
      </c>
      <c r="S170" s="12"/>
      <c r="T170" s="12"/>
      <c r="U170" s="12"/>
      <c r="V170" s="12"/>
      <c r="W170" s="12">
        <v>169.0</v>
      </c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</row>
    <row r="171">
      <c r="L171" s="8">
        <v>169.0</v>
      </c>
      <c r="M171" s="13" t="s">
        <v>1987</v>
      </c>
      <c r="N171" s="13" t="s">
        <v>1988</v>
      </c>
      <c r="O171" s="13" t="s">
        <v>1989</v>
      </c>
      <c r="P171" s="13" t="s">
        <v>1990</v>
      </c>
      <c r="Q171" s="13" t="s">
        <v>1991</v>
      </c>
      <c r="R171" s="13" t="s">
        <v>1992</v>
      </c>
      <c r="S171" s="12"/>
      <c r="T171" s="12"/>
      <c r="U171" s="12"/>
      <c r="V171" s="12"/>
      <c r="W171" s="12">
        <v>170.0</v>
      </c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</row>
    <row r="172">
      <c r="L172" s="8">
        <v>170.0</v>
      </c>
      <c r="M172" s="13" t="s">
        <v>1993</v>
      </c>
      <c r="N172" s="13" t="s">
        <v>1994</v>
      </c>
      <c r="O172" s="13" t="s">
        <v>1995</v>
      </c>
      <c r="P172" s="13" t="s">
        <v>1996</v>
      </c>
      <c r="Q172" s="13" t="s">
        <v>1997</v>
      </c>
      <c r="R172" s="13" t="s">
        <v>1998</v>
      </c>
      <c r="S172" s="12"/>
      <c r="T172" s="12"/>
      <c r="U172" s="12"/>
      <c r="V172" s="12"/>
      <c r="W172" s="12">
        <v>171.0</v>
      </c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</row>
    <row r="173">
      <c r="L173" s="8">
        <v>171.0</v>
      </c>
      <c r="M173" s="13" t="s">
        <v>1999</v>
      </c>
      <c r="N173" s="13" t="s">
        <v>2000</v>
      </c>
      <c r="O173" s="13" t="s">
        <v>2001</v>
      </c>
      <c r="P173" s="13" t="s">
        <v>2002</v>
      </c>
      <c r="Q173" s="13" t="s">
        <v>2003</v>
      </c>
      <c r="R173" s="13" t="s">
        <v>2004</v>
      </c>
      <c r="S173" s="12"/>
      <c r="T173" s="12"/>
      <c r="U173" s="12"/>
      <c r="V173" s="12"/>
      <c r="W173" s="12">
        <v>172.0</v>
      </c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</row>
    <row r="174">
      <c r="L174" s="8">
        <v>172.0</v>
      </c>
      <c r="M174" s="13" t="s">
        <v>2005</v>
      </c>
      <c r="N174" s="13" t="s">
        <v>2006</v>
      </c>
      <c r="O174" s="13" t="s">
        <v>2007</v>
      </c>
      <c r="P174" s="13" t="s">
        <v>2008</v>
      </c>
      <c r="Q174" s="13" t="s">
        <v>2009</v>
      </c>
      <c r="R174" s="13" t="s">
        <v>2010</v>
      </c>
      <c r="S174" s="12"/>
      <c r="T174" s="12"/>
      <c r="U174" s="12"/>
      <c r="V174" s="12"/>
      <c r="W174" s="12">
        <v>173.0</v>
      </c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</row>
    <row r="175">
      <c r="L175" s="8">
        <v>173.0</v>
      </c>
      <c r="M175" s="8">
        <v>0.0</v>
      </c>
      <c r="N175" s="8">
        <v>0.0</v>
      </c>
      <c r="O175" s="8">
        <v>0.0</v>
      </c>
      <c r="P175" s="8">
        <v>0.0</v>
      </c>
      <c r="Q175" s="8">
        <v>0.0</v>
      </c>
      <c r="R175" s="8">
        <v>0.0</v>
      </c>
      <c r="S175" s="12"/>
      <c r="T175" s="12"/>
      <c r="U175" s="12"/>
      <c r="V175" s="12"/>
      <c r="W175" s="12">
        <v>174.0</v>
      </c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</row>
    <row r="176">
      <c r="L176" s="8">
        <v>174.0</v>
      </c>
      <c r="M176" s="8">
        <v>0.0</v>
      </c>
      <c r="N176" s="8">
        <v>0.0</v>
      </c>
      <c r="O176" s="8">
        <v>0.0</v>
      </c>
      <c r="P176" s="8">
        <v>0.0</v>
      </c>
      <c r="Q176" s="8">
        <v>0.0</v>
      </c>
      <c r="R176" s="8">
        <v>0.0</v>
      </c>
      <c r="S176" s="12"/>
      <c r="T176" s="12"/>
      <c r="U176" s="12"/>
      <c r="V176" s="12"/>
      <c r="W176" s="12">
        <v>175.0</v>
      </c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</row>
    <row r="177">
      <c r="L177" s="8">
        <v>175.0</v>
      </c>
      <c r="M177" s="8">
        <v>0.0</v>
      </c>
      <c r="N177" s="8">
        <v>0.0</v>
      </c>
      <c r="O177" s="8">
        <v>0.0</v>
      </c>
      <c r="P177" s="8">
        <v>0.0</v>
      </c>
      <c r="Q177" s="8">
        <v>0.0</v>
      </c>
      <c r="R177" s="8">
        <v>0.0</v>
      </c>
      <c r="S177" s="12"/>
      <c r="T177" s="12"/>
      <c r="U177" s="12"/>
      <c r="V177" s="12"/>
      <c r="W177" s="12">
        <v>176.0</v>
      </c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</row>
    <row r="178">
      <c r="L178" s="8">
        <v>176.0</v>
      </c>
      <c r="M178" s="8">
        <v>0.0</v>
      </c>
      <c r="N178" s="8">
        <v>0.0</v>
      </c>
      <c r="O178" s="8">
        <v>0.0</v>
      </c>
      <c r="P178" s="8">
        <v>0.0</v>
      </c>
      <c r="Q178" s="8">
        <v>0.0</v>
      </c>
      <c r="R178" s="8">
        <v>0.0</v>
      </c>
      <c r="S178" s="12"/>
      <c r="T178" s="12"/>
      <c r="U178" s="12"/>
      <c r="V178" s="12"/>
      <c r="W178" s="12">
        <v>177.0</v>
      </c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</row>
    <row r="179">
      <c r="L179" s="8">
        <v>177.0</v>
      </c>
      <c r="M179" s="13" t="s">
        <v>2011</v>
      </c>
      <c r="N179" s="13" t="s">
        <v>2012</v>
      </c>
      <c r="O179" s="13" t="s">
        <v>2013</v>
      </c>
      <c r="P179" s="13" t="s">
        <v>2014</v>
      </c>
      <c r="Q179" s="13" t="s">
        <v>2015</v>
      </c>
      <c r="R179" s="13" t="s">
        <v>2016</v>
      </c>
      <c r="S179" s="12"/>
      <c r="T179" s="12"/>
      <c r="U179" s="12"/>
      <c r="V179" s="12"/>
      <c r="W179" s="12">
        <v>178.0</v>
      </c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</row>
    <row r="180">
      <c r="L180" s="8">
        <v>178.0</v>
      </c>
      <c r="M180" s="13" t="s">
        <v>2017</v>
      </c>
      <c r="N180" s="13" t="s">
        <v>2018</v>
      </c>
      <c r="O180" s="13" t="s">
        <v>2019</v>
      </c>
      <c r="P180" s="13" t="s">
        <v>2020</v>
      </c>
      <c r="Q180" s="13" t="s">
        <v>2021</v>
      </c>
      <c r="R180" s="13" t="s">
        <v>2022</v>
      </c>
      <c r="S180" s="12"/>
      <c r="T180" s="12"/>
      <c r="U180" s="12"/>
      <c r="V180" s="12"/>
      <c r="W180" s="12">
        <v>179.0</v>
      </c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</row>
    <row r="181">
      <c r="L181" s="8">
        <v>179.0</v>
      </c>
      <c r="M181" s="13" t="s">
        <v>2023</v>
      </c>
      <c r="N181" s="13" t="s">
        <v>2024</v>
      </c>
      <c r="O181" s="13" t="s">
        <v>2025</v>
      </c>
      <c r="P181" s="13" t="s">
        <v>2026</v>
      </c>
      <c r="Q181" s="13" t="s">
        <v>2027</v>
      </c>
      <c r="R181" s="13" t="s">
        <v>2028</v>
      </c>
      <c r="S181" s="12"/>
      <c r="T181" s="12"/>
      <c r="U181" s="12"/>
      <c r="V181" s="12"/>
      <c r="W181" s="12">
        <v>180.0</v>
      </c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</row>
    <row r="182">
      <c r="L182" s="8">
        <v>180.0</v>
      </c>
      <c r="M182" s="13" t="s">
        <v>2029</v>
      </c>
      <c r="N182" s="13" t="s">
        <v>2030</v>
      </c>
      <c r="O182" s="13" t="s">
        <v>2031</v>
      </c>
      <c r="P182" s="13" t="s">
        <v>2032</v>
      </c>
      <c r="Q182" s="13" t="s">
        <v>2033</v>
      </c>
      <c r="R182" s="13" t="s">
        <v>2034</v>
      </c>
      <c r="S182" s="12"/>
      <c r="T182" s="12"/>
      <c r="U182" s="12"/>
      <c r="V182" s="12"/>
      <c r="W182" s="12">
        <v>181.0</v>
      </c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</row>
    <row r="183">
      <c r="L183" s="8">
        <v>181.0</v>
      </c>
      <c r="M183" s="13" t="s">
        <v>2035</v>
      </c>
      <c r="N183" s="13" t="s">
        <v>2036</v>
      </c>
      <c r="O183" s="13" t="s">
        <v>2037</v>
      </c>
      <c r="P183" s="13" t="s">
        <v>2038</v>
      </c>
      <c r="Q183" s="13" t="s">
        <v>2039</v>
      </c>
      <c r="R183" s="13" t="s">
        <v>2040</v>
      </c>
      <c r="S183" s="12"/>
      <c r="T183" s="12"/>
      <c r="U183" s="12"/>
      <c r="V183" s="12"/>
      <c r="W183" s="12">
        <v>182.0</v>
      </c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</row>
    <row r="184">
      <c r="L184" s="8">
        <v>182.0</v>
      </c>
      <c r="M184" s="13" t="s">
        <v>2041</v>
      </c>
      <c r="N184" s="13" t="s">
        <v>2042</v>
      </c>
      <c r="O184" s="13" t="s">
        <v>2043</v>
      </c>
      <c r="P184" s="13" t="s">
        <v>2044</v>
      </c>
      <c r="Q184" s="13" t="s">
        <v>2045</v>
      </c>
      <c r="R184" s="13" t="s">
        <v>2046</v>
      </c>
      <c r="S184" s="12"/>
      <c r="T184" s="12"/>
      <c r="U184" s="12"/>
      <c r="V184" s="12"/>
      <c r="W184" s="12">
        <v>183.0</v>
      </c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</row>
    <row r="185">
      <c r="L185" s="8">
        <v>183.0</v>
      </c>
      <c r="M185" s="13" t="s">
        <v>2047</v>
      </c>
      <c r="N185" s="13" t="s">
        <v>2048</v>
      </c>
      <c r="O185" s="13" t="s">
        <v>2049</v>
      </c>
      <c r="P185" s="13" t="s">
        <v>2050</v>
      </c>
      <c r="Q185" s="13" t="s">
        <v>2051</v>
      </c>
      <c r="R185" s="13" t="s">
        <v>2052</v>
      </c>
      <c r="S185" s="12"/>
      <c r="T185" s="12"/>
      <c r="U185" s="12"/>
      <c r="V185" s="12"/>
      <c r="W185" s="12">
        <v>184.0</v>
      </c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</row>
    <row r="186">
      <c r="L186" s="8">
        <v>184.0</v>
      </c>
      <c r="M186" s="13" t="s">
        <v>2053</v>
      </c>
      <c r="N186" s="13" t="s">
        <v>2054</v>
      </c>
      <c r="O186" s="13" t="s">
        <v>2055</v>
      </c>
      <c r="P186" s="13" t="s">
        <v>2056</v>
      </c>
      <c r="Q186" s="13" t="s">
        <v>2057</v>
      </c>
      <c r="R186" s="13" t="s">
        <v>2058</v>
      </c>
      <c r="S186" s="12"/>
      <c r="T186" s="12"/>
      <c r="U186" s="12"/>
      <c r="V186" s="12"/>
      <c r="W186" s="12">
        <v>185.0</v>
      </c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</row>
    <row r="187">
      <c r="L187" s="8">
        <v>185.0</v>
      </c>
      <c r="M187" s="13" t="s">
        <v>2059</v>
      </c>
      <c r="N187" s="13" t="s">
        <v>2060</v>
      </c>
      <c r="O187" s="13" t="s">
        <v>2061</v>
      </c>
      <c r="P187" s="13" t="s">
        <v>2062</v>
      </c>
      <c r="Q187" s="13" t="s">
        <v>2063</v>
      </c>
      <c r="R187" s="13" t="s">
        <v>2064</v>
      </c>
      <c r="S187" s="12"/>
      <c r="T187" s="12"/>
      <c r="U187" s="12"/>
      <c r="V187" s="12"/>
      <c r="W187" s="12">
        <v>186.0</v>
      </c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</row>
    <row r="188">
      <c r="L188" s="8">
        <v>186.0</v>
      </c>
      <c r="M188" s="13" t="s">
        <v>2065</v>
      </c>
      <c r="N188" s="13" t="s">
        <v>2066</v>
      </c>
      <c r="O188" s="13" t="s">
        <v>2067</v>
      </c>
      <c r="P188" s="13" t="s">
        <v>2068</v>
      </c>
      <c r="Q188" s="13" t="s">
        <v>2069</v>
      </c>
      <c r="R188" s="13" t="s">
        <v>2070</v>
      </c>
      <c r="S188" s="12"/>
      <c r="T188" s="12"/>
      <c r="U188" s="12"/>
      <c r="V188" s="12"/>
      <c r="W188" s="12">
        <v>187.0</v>
      </c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</row>
    <row r="189">
      <c r="L189" s="8">
        <v>187.0</v>
      </c>
      <c r="M189" s="13" t="s">
        <v>2071</v>
      </c>
      <c r="N189" s="13" t="s">
        <v>2072</v>
      </c>
      <c r="O189" s="13" t="s">
        <v>2073</v>
      </c>
      <c r="P189" s="13" t="s">
        <v>2074</v>
      </c>
      <c r="Q189" s="13" t="s">
        <v>2075</v>
      </c>
      <c r="R189" s="13" t="s">
        <v>2076</v>
      </c>
      <c r="S189" s="12"/>
      <c r="T189" s="12"/>
      <c r="U189" s="12"/>
      <c r="V189" s="12"/>
      <c r="W189" s="12">
        <v>188.0</v>
      </c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</row>
    <row r="190">
      <c r="L190" s="8">
        <v>188.0</v>
      </c>
      <c r="M190" s="13" t="s">
        <v>2077</v>
      </c>
      <c r="N190" s="13" t="s">
        <v>2078</v>
      </c>
      <c r="O190" s="13" t="s">
        <v>2079</v>
      </c>
      <c r="P190" s="13" t="s">
        <v>2080</v>
      </c>
      <c r="Q190" s="13" t="s">
        <v>2081</v>
      </c>
      <c r="R190" s="13" t="s">
        <v>2082</v>
      </c>
      <c r="S190" s="12"/>
      <c r="T190" s="12"/>
      <c r="U190" s="12"/>
      <c r="V190" s="12"/>
      <c r="W190" s="12">
        <v>189.0</v>
      </c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</row>
    <row r="191">
      <c r="L191" s="8">
        <v>189.0</v>
      </c>
      <c r="M191" s="8">
        <v>0.0</v>
      </c>
      <c r="N191" s="8">
        <v>0.0</v>
      </c>
      <c r="O191" s="8">
        <v>0.0</v>
      </c>
      <c r="P191" s="8">
        <v>0.0</v>
      </c>
      <c r="Q191" s="8">
        <v>0.0</v>
      </c>
      <c r="R191" s="8">
        <v>0.0</v>
      </c>
      <c r="S191" s="12"/>
      <c r="T191" s="12"/>
      <c r="U191" s="12"/>
      <c r="V191" s="12"/>
      <c r="W191" s="12">
        <v>190.0</v>
      </c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</row>
    <row r="192">
      <c r="L192" s="8">
        <v>190.0</v>
      </c>
      <c r="M192" s="8">
        <v>0.0</v>
      </c>
      <c r="N192" s="8">
        <v>0.0</v>
      </c>
      <c r="O192" s="8">
        <v>0.0</v>
      </c>
      <c r="P192" s="8">
        <v>0.0</v>
      </c>
      <c r="Q192" s="8">
        <v>0.0</v>
      </c>
      <c r="R192" s="8">
        <v>0.0</v>
      </c>
      <c r="S192" s="12"/>
      <c r="T192" s="12"/>
      <c r="U192" s="12"/>
      <c r="V192" s="12"/>
      <c r="W192" s="12">
        <v>191.0</v>
      </c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</row>
    <row r="193">
      <c r="L193" s="8">
        <v>191.0</v>
      </c>
      <c r="M193" s="8">
        <v>0.0</v>
      </c>
      <c r="N193" s="8">
        <v>0.0</v>
      </c>
      <c r="O193" s="8">
        <v>0.0</v>
      </c>
      <c r="P193" s="8">
        <v>0.0</v>
      </c>
      <c r="Q193" s="8">
        <v>0.0</v>
      </c>
      <c r="R193" s="8">
        <v>0.0</v>
      </c>
      <c r="S193" s="12"/>
      <c r="T193" s="12"/>
      <c r="U193" s="12"/>
      <c r="V193" s="12"/>
      <c r="W193" s="12">
        <v>192.0</v>
      </c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</row>
    <row r="194">
      <c r="L194" s="8">
        <v>192.0</v>
      </c>
      <c r="M194" s="8">
        <v>0.0</v>
      </c>
      <c r="N194" s="8">
        <v>0.0</v>
      </c>
      <c r="O194" s="8">
        <v>0.0</v>
      </c>
      <c r="P194" s="8">
        <v>0.0</v>
      </c>
      <c r="Q194" s="8">
        <v>0.0</v>
      </c>
      <c r="R194" s="8">
        <v>0.0</v>
      </c>
      <c r="S194" s="12"/>
      <c r="T194" s="12"/>
      <c r="U194" s="12"/>
      <c r="V194" s="12"/>
      <c r="W194" s="12">
        <v>193.0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</row>
    <row r="195">
      <c r="L195" s="8">
        <v>193.0</v>
      </c>
      <c r="S195" s="12"/>
      <c r="T195" s="12"/>
      <c r="U195" s="12"/>
      <c r="V195" s="12"/>
      <c r="W195" s="12">
        <v>194.0</v>
      </c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</row>
    <row r="196">
      <c r="L196" s="8">
        <v>194.0</v>
      </c>
      <c r="S196" s="12"/>
      <c r="T196" s="12"/>
      <c r="U196" s="12"/>
      <c r="V196" s="12"/>
      <c r="W196" s="12">
        <v>195.0</v>
      </c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</row>
    <row r="197">
      <c r="L197" s="8">
        <v>195.0</v>
      </c>
      <c r="S197" s="12"/>
      <c r="T197" s="12"/>
      <c r="U197" s="12"/>
      <c r="V197" s="12"/>
      <c r="W197" s="12">
        <v>196.0</v>
      </c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</row>
    <row r="198">
      <c r="L198" s="8">
        <v>196.0</v>
      </c>
      <c r="S198" s="12"/>
      <c r="T198" s="12"/>
      <c r="U198" s="12"/>
      <c r="V198" s="12"/>
      <c r="W198" s="12">
        <v>197.0</v>
      </c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</row>
    <row r="199">
      <c r="L199" s="8">
        <v>197.0</v>
      </c>
      <c r="S199" s="12"/>
      <c r="T199" s="12"/>
      <c r="U199" s="12"/>
      <c r="V199" s="12"/>
      <c r="W199" s="12">
        <v>198.0</v>
      </c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</row>
    <row r="200">
      <c r="L200" s="8">
        <v>198.0</v>
      </c>
      <c r="S200" s="12"/>
      <c r="T200" s="12"/>
      <c r="U200" s="12"/>
      <c r="V200" s="12"/>
      <c r="W200" s="12">
        <v>199.0</v>
      </c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</row>
    <row r="201">
      <c r="L201" s="8">
        <v>199.0</v>
      </c>
      <c r="S201" s="12"/>
      <c r="T201" s="12"/>
      <c r="U201" s="12"/>
      <c r="V201" s="12"/>
      <c r="W201" s="12">
        <v>200.0</v>
      </c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</row>
    <row r="202">
      <c r="L202" s="8">
        <v>200.0</v>
      </c>
      <c r="S202" s="12"/>
      <c r="T202" s="12"/>
      <c r="U202" s="12"/>
      <c r="V202" s="12"/>
      <c r="W202" s="12">
        <v>201.0</v>
      </c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</row>
    <row r="203">
      <c r="L203" s="8">
        <v>201.0</v>
      </c>
      <c r="S203" s="12"/>
      <c r="T203" s="12"/>
      <c r="U203" s="12"/>
      <c r="V203" s="12"/>
      <c r="W203" s="12">
        <v>202.0</v>
      </c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</row>
    <row r="204">
      <c r="L204" s="8">
        <v>202.0</v>
      </c>
      <c r="S204" s="12"/>
      <c r="T204" s="12"/>
      <c r="U204" s="12"/>
      <c r="V204" s="12"/>
      <c r="W204" s="12">
        <v>203.0</v>
      </c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</row>
    <row r="205">
      <c r="L205" s="8">
        <v>203.0</v>
      </c>
      <c r="S205" s="12"/>
      <c r="T205" s="12"/>
      <c r="U205" s="12"/>
      <c r="V205" s="12"/>
      <c r="W205" s="12">
        <v>204.0</v>
      </c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</row>
    <row r="206">
      <c r="L206" s="8">
        <v>204.0</v>
      </c>
      <c r="S206" s="12"/>
      <c r="T206" s="12"/>
      <c r="U206" s="12"/>
      <c r="V206" s="12"/>
      <c r="W206" s="12">
        <v>205.0</v>
      </c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</row>
    <row r="207">
      <c r="L207" s="8">
        <v>205.0</v>
      </c>
      <c r="S207" s="12"/>
      <c r="T207" s="12"/>
      <c r="U207" s="12"/>
      <c r="V207" s="12"/>
      <c r="W207" s="12">
        <v>206.0</v>
      </c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</row>
    <row r="208">
      <c r="L208" s="8">
        <v>206.0</v>
      </c>
      <c r="S208" s="12"/>
      <c r="T208" s="12"/>
      <c r="U208" s="12"/>
      <c r="V208" s="12"/>
      <c r="W208" s="12">
        <v>207.0</v>
      </c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</row>
    <row r="209">
      <c r="L209" s="8">
        <v>207.0</v>
      </c>
      <c r="S209" s="12"/>
      <c r="T209" s="12"/>
      <c r="U209" s="12"/>
      <c r="V209" s="12"/>
      <c r="W209" s="12">
        <v>208.0</v>
      </c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</row>
    <row r="210">
      <c r="L210" s="8">
        <v>208.0</v>
      </c>
      <c r="S210" s="12"/>
      <c r="T210" s="12"/>
      <c r="U210" s="12"/>
      <c r="V210" s="12"/>
      <c r="W210" s="12">
        <v>209.0</v>
      </c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</row>
    <row r="211">
      <c r="L211" s="8">
        <v>209.0</v>
      </c>
      <c r="S211" s="12"/>
      <c r="T211" s="12"/>
      <c r="U211" s="12"/>
      <c r="V211" s="12"/>
      <c r="W211" s="12">
        <v>210.0</v>
      </c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</row>
    <row r="212">
      <c r="L212" s="8">
        <v>210.0</v>
      </c>
      <c r="S212" s="12"/>
      <c r="T212" s="12"/>
      <c r="U212" s="12"/>
      <c r="V212" s="12"/>
      <c r="W212" s="12">
        <v>211.0</v>
      </c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</row>
    <row r="213">
      <c r="L213" s="8">
        <v>211.0</v>
      </c>
      <c r="S213" s="12"/>
      <c r="T213" s="12"/>
      <c r="U213" s="12"/>
      <c r="V213" s="12"/>
      <c r="W213" s="12">
        <v>212.0</v>
      </c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</row>
    <row r="214">
      <c r="L214" s="8">
        <v>212.0</v>
      </c>
      <c r="S214" s="12"/>
      <c r="T214" s="12"/>
      <c r="U214" s="12"/>
      <c r="V214" s="12"/>
      <c r="W214" s="12">
        <v>213.0</v>
      </c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</row>
    <row r="215">
      <c r="L215" s="8">
        <v>213.0</v>
      </c>
      <c r="S215" s="12"/>
      <c r="T215" s="12"/>
      <c r="U215" s="12"/>
      <c r="V215" s="12"/>
      <c r="W215" s="12">
        <v>214.0</v>
      </c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</row>
    <row r="216">
      <c r="L216" s="8">
        <v>214.0</v>
      </c>
      <c r="S216" s="12"/>
      <c r="T216" s="12"/>
      <c r="U216" s="12"/>
      <c r="V216" s="12"/>
      <c r="W216" s="12">
        <v>215.0</v>
      </c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</row>
    <row r="217">
      <c r="L217" s="8">
        <v>215.0</v>
      </c>
      <c r="S217" s="12"/>
      <c r="T217" s="12"/>
      <c r="U217" s="12"/>
      <c r="V217" s="12"/>
      <c r="W217" s="12">
        <v>216.0</v>
      </c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</row>
    <row r="218">
      <c r="L218" s="8">
        <v>216.0</v>
      </c>
      <c r="S218" s="12"/>
      <c r="T218" s="12"/>
      <c r="U218" s="12"/>
      <c r="V218" s="12"/>
      <c r="W218" s="12">
        <v>217.0</v>
      </c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</row>
    <row r="219">
      <c r="L219" s="8">
        <v>217.0</v>
      </c>
      <c r="S219" s="12"/>
      <c r="T219" s="12"/>
      <c r="U219" s="12"/>
      <c r="V219" s="12"/>
      <c r="W219" s="12">
        <v>218.0</v>
      </c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</row>
    <row r="220">
      <c r="L220" s="8">
        <v>218.0</v>
      </c>
      <c r="S220" s="12"/>
      <c r="T220" s="12"/>
      <c r="U220" s="12"/>
      <c r="V220" s="12"/>
      <c r="W220" s="12">
        <v>219.0</v>
      </c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</row>
    <row r="221">
      <c r="L221" s="8">
        <v>219.0</v>
      </c>
      <c r="S221" s="12"/>
      <c r="T221" s="12"/>
      <c r="U221" s="12"/>
      <c r="V221" s="12"/>
      <c r="W221" s="12">
        <v>220.0</v>
      </c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</row>
    <row r="222">
      <c r="L222" s="8">
        <v>220.0</v>
      </c>
      <c r="S222" s="12"/>
      <c r="T222" s="12"/>
      <c r="U222" s="12"/>
      <c r="V222" s="12"/>
      <c r="W222" s="12">
        <v>221.0</v>
      </c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</row>
    <row r="223">
      <c r="L223" s="8">
        <v>221.0</v>
      </c>
      <c r="S223" s="12"/>
      <c r="T223" s="12"/>
      <c r="U223" s="12"/>
      <c r="V223" s="12"/>
      <c r="W223" s="12">
        <v>222.0</v>
      </c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</row>
    <row r="224">
      <c r="L224" s="8">
        <v>222.0</v>
      </c>
      <c r="S224" s="12"/>
      <c r="T224" s="12"/>
      <c r="U224" s="12"/>
      <c r="V224" s="12"/>
      <c r="W224" s="12">
        <v>223.0</v>
      </c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</row>
    <row r="225">
      <c r="L225" s="8">
        <v>223.0</v>
      </c>
      <c r="S225" s="12"/>
      <c r="T225" s="12"/>
      <c r="U225" s="12"/>
      <c r="V225" s="12"/>
      <c r="W225" s="12">
        <v>224.0</v>
      </c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</row>
    <row r="226">
      <c r="L226" s="8">
        <v>224.0</v>
      </c>
      <c r="S226" s="12"/>
      <c r="T226" s="12"/>
      <c r="U226" s="12"/>
      <c r="V226" s="12"/>
      <c r="W226" s="12">
        <v>225.0</v>
      </c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</row>
    <row r="227">
      <c r="L227" s="8">
        <v>225.0</v>
      </c>
      <c r="S227" s="12"/>
      <c r="T227" s="12"/>
      <c r="U227" s="12"/>
      <c r="V227" s="12"/>
      <c r="W227" s="12">
        <v>226.0</v>
      </c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</row>
    <row r="228">
      <c r="L228" s="8">
        <v>226.0</v>
      </c>
      <c r="S228" s="12"/>
      <c r="T228" s="12"/>
      <c r="U228" s="12"/>
      <c r="V228" s="12"/>
      <c r="W228" s="12">
        <v>227.0</v>
      </c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</row>
    <row r="229">
      <c r="L229" s="8">
        <v>227.0</v>
      </c>
      <c r="S229" s="12"/>
      <c r="T229" s="12"/>
      <c r="U229" s="12"/>
      <c r="V229" s="12"/>
      <c r="W229" s="12">
        <v>228.0</v>
      </c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</row>
    <row r="230">
      <c r="L230" s="8">
        <v>228.0</v>
      </c>
      <c r="S230" s="12"/>
      <c r="T230" s="12"/>
      <c r="U230" s="12"/>
      <c r="V230" s="12"/>
      <c r="W230" s="12">
        <v>229.0</v>
      </c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</row>
    <row r="231">
      <c r="L231" s="8">
        <v>229.0</v>
      </c>
      <c r="S231" s="12"/>
      <c r="T231" s="12"/>
      <c r="U231" s="12"/>
      <c r="V231" s="12"/>
      <c r="W231" s="12">
        <v>230.0</v>
      </c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</row>
    <row r="232">
      <c r="L232" s="8">
        <v>230.0</v>
      </c>
      <c r="S232" s="12"/>
      <c r="T232" s="12"/>
      <c r="U232" s="12"/>
      <c r="V232" s="12"/>
      <c r="W232" s="12">
        <v>231.0</v>
      </c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</row>
    <row r="233">
      <c r="L233" s="8">
        <v>231.0</v>
      </c>
      <c r="S233" s="12"/>
      <c r="T233" s="12"/>
      <c r="U233" s="12"/>
      <c r="V233" s="12"/>
      <c r="W233" s="12">
        <v>232.0</v>
      </c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</row>
    <row r="234">
      <c r="L234" s="8">
        <v>232.0</v>
      </c>
      <c r="S234" s="12"/>
      <c r="T234" s="12"/>
      <c r="U234" s="12"/>
      <c r="V234" s="12"/>
      <c r="W234" s="12">
        <v>233.0</v>
      </c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</row>
    <row r="235">
      <c r="L235" s="8">
        <v>233.0</v>
      </c>
      <c r="S235" s="12"/>
      <c r="T235" s="12"/>
      <c r="U235" s="12"/>
      <c r="V235" s="12"/>
      <c r="W235" s="12">
        <v>234.0</v>
      </c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</row>
    <row r="236">
      <c r="L236" s="8">
        <v>234.0</v>
      </c>
      <c r="S236" s="12"/>
      <c r="T236" s="12"/>
      <c r="U236" s="12"/>
      <c r="V236" s="12"/>
      <c r="W236" s="12">
        <v>235.0</v>
      </c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</row>
    <row r="237">
      <c r="L237" s="8">
        <v>235.0</v>
      </c>
      <c r="S237" s="12"/>
      <c r="T237" s="12"/>
      <c r="U237" s="12"/>
      <c r="V237" s="12"/>
      <c r="W237" s="12">
        <v>236.0</v>
      </c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</row>
    <row r="238">
      <c r="L238" s="8">
        <v>236.0</v>
      </c>
      <c r="S238" s="12"/>
      <c r="T238" s="12"/>
      <c r="U238" s="12"/>
      <c r="V238" s="12"/>
      <c r="W238" s="12">
        <v>237.0</v>
      </c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</row>
    <row r="239">
      <c r="L239" s="8">
        <v>237.0</v>
      </c>
      <c r="S239" s="12"/>
      <c r="T239" s="12"/>
      <c r="U239" s="12"/>
      <c r="V239" s="12"/>
      <c r="W239" s="12">
        <v>238.0</v>
      </c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</row>
    <row r="240">
      <c r="L240" s="8">
        <v>238.0</v>
      </c>
      <c r="S240" s="12"/>
      <c r="T240" s="12"/>
      <c r="U240" s="12"/>
      <c r="V240" s="12"/>
      <c r="W240" s="12">
        <v>239.0</v>
      </c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</row>
    <row r="241">
      <c r="L241" s="8">
        <v>239.0</v>
      </c>
      <c r="S241" s="12"/>
      <c r="T241" s="12"/>
      <c r="U241" s="12"/>
      <c r="V241" s="12"/>
      <c r="W241" s="12">
        <v>240.0</v>
      </c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</row>
    <row r="242">
      <c r="L242" s="8">
        <v>240.0</v>
      </c>
      <c r="S242" s="12"/>
      <c r="T242" s="12"/>
      <c r="U242" s="12"/>
      <c r="V242" s="12"/>
      <c r="W242" s="12">
        <v>241.0</v>
      </c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</row>
    <row r="243">
      <c r="L243" s="8">
        <v>241.0</v>
      </c>
      <c r="S243" s="12"/>
      <c r="T243" s="12"/>
      <c r="U243" s="12"/>
      <c r="V243" s="12"/>
      <c r="W243" s="12">
        <v>242.0</v>
      </c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</row>
    <row r="244">
      <c r="L244" s="8">
        <v>242.0</v>
      </c>
      <c r="S244" s="12"/>
      <c r="T244" s="12"/>
      <c r="U244" s="12"/>
      <c r="V244" s="12"/>
      <c r="W244" s="12">
        <v>243.0</v>
      </c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</row>
    <row r="245">
      <c r="L245" s="8">
        <v>243.0</v>
      </c>
      <c r="S245" s="12"/>
      <c r="T245" s="12"/>
      <c r="U245" s="12"/>
      <c r="V245" s="12"/>
      <c r="W245" s="12">
        <v>244.0</v>
      </c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</row>
    <row r="246">
      <c r="L246" s="8">
        <v>244.0</v>
      </c>
      <c r="S246" s="12"/>
      <c r="T246" s="12"/>
      <c r="U246" s="12"/>
      <c r="V246" s="12"/>
      <c r="W246" s="12">
        <v>245.0</v>
      </c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</row>
    <row r="247">
      <c r="L247" s="8">
        <v>245.0</v>
      </c>
      <c r="S247" s="12"/>
      <c r="T247" s="12"/>
      <c r="U247" s="12"/>
      <c r="V247" s="12"/>
      <c r="W247" s="12">
        <v>246.0</v>
      </c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</row>
    <row r="248">
      <c r="L248" s="8">
        <v>246.0</v>
      </c>
      <c r="S248" s="12"/>
      <c r="T248" s="12"/>
      <c r="U248" s="12"/>
      <c r="V248" s="12"/>
      <c r="W248" s="12">
        <v>247.0</v>
      </c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</row>
    <row r="249">
      <c r="L249" s="8">
        <v>247.0</v>
      </c>
      <c r="S249" s="12"/>
      <c r="T249" s="12"/>
      <c r="U249" s="12"/>
      <c r="V249" s="12"/>
      <c r="W249" s="12">
        <v>248.0</v>
      </c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</row>
    <row r="250">
      <c r="L250" s="8">
        <v>248.0</v>
      </c>
      <c r="S250" s="12"/>
      <c r="T250" s="12"/>
      <c r="U250" s="12"/>
      <c r="V250" s="12"/>
      <c r="W250" s="12">
        <v>249.0</v>
      </c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</row>
    <row r="251">
      <c r="L251" s="8">
        <v>249.0</v>
      </c>
      <c r="S251" s="12"/>
      <c r="T251" s="12"/>
      <c r="U251" s="12"/>
      <c r="V251" s="12"/>
      <c r="W251" s="12">
        <v>250.0</v>
      </c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</row>
    <row r="252">
      <c r="L252" s="8">
        <v>250.0</v>
      </c>
      <c r="S252" s="12"/>
      <c r="T252" s="12"/>
      <c r="U252" s="12"/>
      <c r="V252" s="12"/>
      <c r="W252" s="12">
        <v>251.0</v>
      </c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</row>
    <row r="253">
      <c r="L253" s="8">
        <v>251.0</v>
      </c>
      <c r="S253" s="12"/>
      <c r="T253" s="12"/>
      <c r="U253" s="12"/>
      <c r="V253" s="12"/>
      <c r="W253" s="12">
        <v>252.0</v>
      </c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</row>
    <row r="254">
      <c r="L254" s="8">
        <v>252.0</v>
      </c>
      <c r="S254" s="12"/>
      <c r="T254" s="12"/>
      <c r="U254" s="12"/>
      <c r="V254" s="12"/>
      <c r="W254" s="12">
        <v>253.0</v>
      </c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</row>
    <row r="255">
      <c r="L255" s="8">
        <v>253.0</v>
      </c>
      <c r="S255" s="12"/>
      <c r="T255" s="12"/>
      <c r="U255" s="12"/>
      <c r="V255" s="12"/>
      <c r="W255" s="12">
        <v>254.0</v>
      </c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</row>
    <row r="256">
      <c r="L256" s="8">
        <v>254.0</v>
      </c>
      <c r="S256" s="12"/>
      <c r="T256" s="12"/>
      <c r="U256" s="12"/>
      <c r="V256" s="12"/>
      <c r="W256" s="12">
        <v>255.0</v>
      </c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</row>
    <row r="257">
      <c r="L257" s="8">
        <v>255.0</v>
      </c>
      <c r="S257" s="12"/>
      <c r="T257" s="12"/>
      <c r="U257" s="12"/>
      <c r="V257" s="12"/>
      <c r="W257" s="12">
        <v>256.0</v>
      </c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</row>
    <row r="258">
      <c r="S258" s="12"/>
      <c r="T258" s="12"/>
      <c r="U258" s="12"/>
      <c r="V258" s="12"/>
      <c r="W258" s="12">
        <v>257.0</v>
      </c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</row>
    <row r="259">
      <c r="S259" s="12"/>
      <c r="T259" s="12"/>
      <c r="U259" s="12"/>
      <c r="V259" s="12"/>
      <c r="W259" s="12">
        <v>258.0</v>
      </c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</row>
    <row r="260">
      <c r="S260" s="12"/>
      <c r="T260" s="12"/>
      <c r="U260" s="12"/>
      <c r="V260" s="12"/>
      <c r="W260" s="12">
        <v>259.0</v>
      </c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</row>
    <row r="261">
      <c r="S261" s="12"/>
      <c r="T261" s="12"/>
      <c r="U261" s="12"/>
      <c r="V261" s="12"/>
      <c r="W261" s="12">
        <v>260.0</v>
      </c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</row>
    <row r="262">
      <c r="S262" s="12"/>
      <c r="T262" s="12"/>
      <c r="U262" s="12"/>
      <c r="V262" s="12"/>
      <c r="W262" s="12">
        <v>261.0</v>
      </c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</row>
    <row r="263">
      <c r="S263" s="12"/>
      <c r="T263" s="12"/>
      <c r="U263" s="12"/>
      <c r="V263" s="12"/>
      <c r="W263" s="12">
        <v>262.0</v>
      </c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</row>
    <row r="264">
      <c r="S264" s="12"/>
      <c r="T264" s="12"/>
      <c r="U264" s="12"/>
      <c r="V264" s="12"/>
      <c r="W264" s="12">
        <v>263.0</v>
      </c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</row>
    <row r="265">
      <c r="S265" s="12"/>
      <c r="T265" s="12"/>
      <c r="U265" s="12"/>
      <c r="V265" s="12"/>
      <c r="W265" s="12">
        <v>264.0</v>
      </c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</row>
    <row r="266">
      <c r="S266" s="12"/>
      <c r="T266" s="12"/>
      <c r="U266" s="12"/>
      <c r="V266" s="12"/>
      <c r="W266" s="12">
        <v>265.0</v>
      </c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</row>
    <row r="267">
      <c r="S267" s="12"/>
      <c r="T267" s="12"/>
      <c r="U267" s="12"/>
      <c r="V267" s="12"/>
      <c r="W267" s="12">
        <v>266.0</v>
      </c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</row>
    <row r="268">
      <c r="S268" s="12"/>
      <c r="T268" s="12"/>
      <c r="U268" s="12"/>
      <c r="V268" s="12"/>
      <c r="W268" s="12">
        <v>267.0</v>
      </c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</row>
    <row r="269">
      <c r="S269" s="12"/>
      <c r="T269" s="12"/>
      <c r="U269" s="12"/>
      <c r="V269" s="12"/>
      <c r="W269" s="12">
        <v>268.0</v>
      </c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</row>
    <row r="270">
      <c r="S270" s="12"/>
      <c r="T270" s="12"/>
      <c r="U270" s="12"/>
      <c r="V270" s="12"/>
      <c r="W270" s="12">
        <v>269.0</v>
      </c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</row>
    <row r="271">
      <c r="S271" s="12"/>
      <c r="T271" s="12"/>
      <c r="U271" s="12"/>
      <c r="V271" s="12"/>
      <c r="W271" s="12">
        <v>270.0</v>
      </c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</row>
    <row r="272">
      <c r="S272" s="12"/>
      <c r="T272" s="12"/>
      <c r="U272" s="12"/>
      <c r="V272" s="12"/>
      <c r="W272" s="12">
        <v>271.0</v>
      </c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</row>
    <row r="273">
      <c r="S273" s="12"/>
      <c r="T273" s="12"/>
      <c r="U273" s="12"/>
      <c r="V273" s="12"/>
      <c r="W273" s="12">
        <v>272.0</v>
      </c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</row>
    <row r="274">
      <c r="S274" s="12"/>
      <c r="T274" s="12"/>
      <c r="U274" s="12"/>
      <c r="V274" s="12"/>
      <c r="W274" s="12">
        <v>273.0</v>
      </c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</row>
    <row r="275">
      <c r="S275" s="12"/>
      <c r="T275" s="12"/>
      <c r="U275" s="12"/>
      <c r="V275" s="12"/>
      <c r="W275" s="12">
        <v>274.0</v>
      </c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</row>
    <row r="276">
      <c r="S276" s="12"/>
      <c r="T276" s="12"/>
      <c r="U276" s="12"/>
      <c r="V276" s="12"/>
      <c r="W276" s="12">
        <v>275.0</v>
      </c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</row>
    <row r="277">
      <c r="S277" s="12"/>
      <c r="T277" s="12"/>
      <c r="U277" s="12"/>
      <c r="V277" s="12"/>
      <c r="W277" s="12">
        <v>276.0</v>
      </c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</row>
    <row r="278">
      <c r="S278" s="12"/>
      <c r="T278" s="12"/>
      <c r="U278" s="12"/>
      <c r="V278" s="12"/>
      <c r="W278" s="12">
        <v>277.0</v>
      </c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</row>
    <row r="279">
      <c r="S279" s="12"/>
      <c r="T279" s="12"/>
      <c r="U279" s="12"/>
      <c r="V279" s="12"/>
      <c r="W279" s="12">
        <v>278.0</v>
      </c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</row>
    <row r="280">
      <c r="S280" s="12"/>
      <c r="T280" s="12"/>
      <c r="U280" s="12"/>
      <c r="V280" s="12"/>
      <c r="W280" s="12">
        <v>279.0</v>
      </c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</row>
    <row r="281">
      <c r="S281" s="12"/>
      <c r="T281" s="12"/>
      <c r="U281" s="12"/>
      <c r="V281" s="12"/>
      <c r="W281" s="12">
        <v>280.0</v>
      </c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</row>
    <row r="282">
      <c r="S282" s="12"/>
      <c r="T282" s="12"/>
      <c r="U282" s="12"/>
      <c r="V282" s="12"/>
      <c r="W282" s="12">
        <v>281.0</v>
      </c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</row>
    <row r="283">
      <c r="S283" s="12"/>
      <c r="T283" s="12"/>
      <c r="U283" s="12"/>
      <c r="V283" s="12"/>
      <c r="W283" s="12">
        <v>282.0</v>
      </c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</row>
    <row r="284">
      <c r="S284" s="12"/>
      <c r="T284" s="12"/>
      <c r="U284" s="12"/>
      <c r="V284" s="12"/>
      <c r="W284" s="12">
        <v>283.0</v>
      </c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</row>
    <row r="285">
      <c r="S285" s="12"/>
      <c r="T285" s="12"/>
      <c r="U285" s="12"/>
      <c r="V285" s="12"/>
      <c r="W285" s="12">
        <v>284.0</v>
      </c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</row>
    <row r="286">
      <c r="S286" s="12"/>
      <c r="T286" s="12"/>
      <c r="U286" s="12"/>
      <c r="V286" s="12"/>
      <c r="W286" s="12">
        <v>285.0</v>
      </c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</row>
    <row r="287">
      <c r="S287" s="12"/>
      <c r="T287" s="12"/>
      <c r="U287" s="12"/>
      <c r="V287" s="12"/>
      <c r="W287" s="12">
        <v>286.0</v>
      </c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</row>
    <row r="288">
      <c r="S288" s="12"/>
      <c r="T288" s="12"/>
      <c r="U288" s="12"/>
      <c r="V288" s="12"/>
      <c r="W288" s="12">
        <v>287.0</v>
      </c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</row>
    <row r="289">
      <c r="S289" s="12"/>
      <c r="T289" s="12"/>
      <c r="U289" s="12"/>
      <c r="V289" s="12"/>
      <c r="W289" s="12">
        <v>288.0</v>
      </c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</row>
    <row r="290">
      <c r="S290" s="12"/>
      <c r="T290" s="12"/>
      <c r="U290" s="12"/>
      <c r="V290" s="12"/>
      <c r="W290" s="12">
        <v>289.0</v>
      </c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</row>
    <row r="291">
      <c r="S291" s="12"/>
      <c r="T291" s="12"/>
      <c r="U291" s="12"/>
      <c r="V291" s="12"/>
      <c r="W291" s="12">
        <v>290.0</v>
      </c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</row>
    <row r="292">
      <c r="S292" s="12"/>
      <c r="T292" s="12"/>
      <c r="U292" s="12"/>
      <c r="V292" s="12"/>
      <c r="W292" s="12">
        <v>291.0</v>
      </c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</row>
    <row r="293">
      <c r="S293" s="12"/>
      <c r="T293" s="12"/>
      <c r="U293" s="12"/>
      <c r="V293" s="12"/>
      <c r="W293" s="12">
        <v>292.0</v>
      </c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</row>
    <row r="294">
      <c r="S294" s="12"/>
      <c r="T294" s="12"/>
      <c r="U294" s="12"/>
      <c r="V294" s="12"/>
      <c r="W294" s="12">
        <v>293.0</v>
      </c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</row>
    <row r="295">
      <c r="S295" s="12"/>
      <c r="T295" s="12"/>
      <c r="U295" s="12"/>
      <c r="V295" s="12"/>
      <c r="W295" s="12">
        <v>294.0</v>
      </c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</row>
    <row r="296">
      <c r="S296" s="12"/>
      <c r="T296" s="12"/>
      <c r="U296" s="12"/>
      <c r="V296" s="12"/>
      <c r="W296" s="12">
        <v>295.0</v>
      </c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</row>
    <row r="297">
      <c r="S297" s="12"/>
      <c r="T297" s="12"/>
      <c r="U297" s="12"/>
      <c r="V297" s="12"/>
      <c r="W297" s="12">
        <v>296.0</v>
      </c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</row>
    <row r="298">
      <c r="S298" s="12"/>
      <c r="T298" s="12"/>
      <c r="U298" s="12"/>
      <c r="V298" s="12"/>
      <c r="W298" s="12">
        <v>297.0</v>
      </c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</row>
    <row r="299">
      <c r="S299" s="12"/>
      <c r="T299" s="12"/>
      <c r="U299" s="12"/>
      <c r="V299" s="12"/>
      <c r="W299" s="12">
        <v>298.0</v>
      </c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</row>
    <row r="300">
      <c r="S300" s="12"/>
      <c r="T300" s="12"/>
      <c r="U300" s="12"/>
      <c r="V300" s="12"/>
      <c r="W300" s="12">
        <v>299.0</v>
      </c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</row>
    <row r="301">
      <c r="S301" s="12"/>
      <c r="T301" s="12"/>
      <c r="U301" s="12"/>
      <c r="V301" s="12"/>
      <c r="W301" s="12">
        <v>300.0</v>
      </c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</row>
    <row r="302">
      <c r="S302" s="12"/>
      <c r="T302" s="12"/>
      <c r="U302" s="12"/>
      <c r="V302" s="12"/>
      <c r="W302" s="12">
        <v>301.0</v>
      </c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</row>
    <row r="303">
      <c r="S303" s="12"/>
      <c r="T303" s="12"/>
      <c r="U303" s="12"/>
      <c r="V303" s="12"/>
      <c r="W303" s="12">
        <v>302.0</v>
      </c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</row>
    <row r="304">
      <c r="S304" s="12"/>
      <c r="T304" s="12"/>
      <c r="U304" s="12"/>
      <c r="V304" s="12"/>
      <c r="W304" s="12">
        <v>303.0</v>
      </c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</row>
    <row r="305">
      <c r="S305" s="12"/>
      <c r="T305" s="12"/>
      <c r="U305" s="12"/>
      <c r="V305" s="12"/>
      <c r="W305" s="12">
        <v>304.0</v>
      </c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</row>
    <row r="306">
      <c r="S306" s="12"/>
      <c r="T306" s="12"/>
      <c r="U306" s="12"/>
      <c r="V306" s="12"/>
      <c r="W306" s="12">
        <v>305.0</v>
      </c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</row>
    <row r="307">
      <c r="S307" s="12"/>
      <c r="T307" s="12"/>
      <c r="U307" s="12"/>
      <c r="V307" s="12"/>
      <c r="W307" s="12">
        <v>306.0</v>
      </c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</row>
    <row r="308">
      <c r="S308" s="12"/>
      <c r="T308" s="12"/>
      <c r="U308" s="12"/>
      <c r="V308" s="12"/>
      <c r="W308" s="12">
        <v>307.0</v>
      </c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</row>
    <row r="309">
      <c r="S309" s="12"/>
      <c r="T309" s="12"/>
      <c r="U309" s="12"/>
      <c r="V309" s="12"/>
      <c r="W309" s="12">
        <v>308.0</v>
      </c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</row>
    <row r="310">
      <c r="S310" s="12"/>
      <c r="T310" s="12"/>
      <c r="U310" s="12"/>
      <c r="V310" s="12"/>
      <c r="W310" s="12">
        <v>309.0</v>
      </c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</row>
    <row r="311">
      <c r="S311" s="12"/>
      <c r="T311" s="12"/>
      <c r="U311" s="12"/>
      <c r="V311" s="12"/>
      <c r="W311" s="12">
        <v>310.0</v>
      </c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</row>
    <row r="312">
      <c r="S312" s="12"/>
      <c r="T312" s="12"/>
      <c r="U312" s="12"/>
      <c r="V312" s="12"/>
      <c r="W312" s="12">
        <v>311.0</v>
      </c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</row>
    <row r="313">
      <c r="S313" s="12"/>
      <c r="T313" s="12"/>
      <c r="U313" s="12"/>
      <c r="V313" s="12"/>
      <c r="W313" s="12">
        <v>312.0</v>
      </c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</row>
    <row r="314">
      <c r="S314" s="12"/>
      <c r="T314" s="12"/>
      <c r="U314" s="12"/>
      <c r="V314" s="12"/>
      <c r="W314" s="12">
        <v>313.0</v>
      </c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</row>
    <row r="315">
      <c r="S315" s="12"/>
      <c r="T315" s="12"/>
      <c r="U315" s="12"/>
      <c r="V315" s="12"/>
      <c r="W315" s="12">
        <v>314.0</v>
      </c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</row>
    <row r="316">
      <c r="S316" s="12"/>
      <c r="T316" s="12"/>
      <c r="U316" s="12"/>
      <c r="V316" s="12"/>
      <c r="W316" s="12">
        <v>315.0</v>
      </c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</row>
    <row r="317">
      <c r="S317" s="12"/>
      <c r="T317" s="12"/>
      <c r="U317" s="12"/>
      <c r="V317" s="12"/>
      <c r="W317" s="12">
        <v>316.0</v>
      </c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</row>
    <row r="318">
      <c r="S318" s="12"/>
      <c r="T318" s="12"/>
      <c r="U318" s="12"/>
      <c r="V318" s="12"/>
      <c r="W318" s="12">
        <v>317.0</v>
      </c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</row>
    <row r="319">
      <c r="S319" s="12"/>
      <c r="T319" s="12"/>
      <c r="U319" s="12"/>
      <c r="V319" s="12"/>
      <c r="W319" s="12">
        <v>318.0</v>
      </c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</row>
    <row r="320">
      <c r="S320" s="12"/>
      <c r="T320" s="12"/>
      <c r="U320" s="12"/>
      <c r="V320" s="12"/>
      <c r="W320" s="12">
        <v>319.0</v>
      </c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</row>
    <row r="321">
      <c r="S321" s="12"/>
      <c r="T321" s="12"/>
      <c r="U321" s="12"/>
      <c r="V321" s="12"/>
      <c r="W321" s="12">
        <v>320.0</v>
      </c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</row>
    <row r="322">
      <c r="S322" s="12"/>
      <c r="T322" s="12"/>
      <c r="U322" s="12"/>
      <c r="V322" s="12"/>
      <c r="W322" s="12">
        <v>321.0</v>
      </c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</row>
    <row r="323">
      <c r="S323" s="12"/>
      <c r="T323" s="12"/>
      <c r="U323" s="12"/>
      <c r="V323" s="12"/>
      <c r="W323" s="12">
        <v>322.0</v>
      </c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</row>
    <row r="324">
      <c r="S324" s="12"/>
      <c r="T324" s="12"/>
      <c r="U324" s="12"/>
      <c r="V324" s="12"/>
      <c r="W324" s="12">
        <v>323.0</v>
      </c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</row>
    <row r="325">
      <c r="S325" s="12"/>
      <c r="T325" s="12"/>
      <c r="U325" s="12"/>
      <c r="V325" s="12"/>
      <c r="W325" s="12">
        <v>324.0</v>
      </c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</row>
    <row r="326">
      <c r="S326" s="12"/>
      <c r="T326" s="12"/>
      <c r="U326" s="12"/>
      <c r="V326" s="12"/>
      <c r="W326" s="12">
        <v>325.0</v>
      </c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</row>
    <row r="327">
      <c r="S327" s="12"/>
      <c r="T327" s="12"/>
      <c r="U327" s="12"/>
      <c r="V327" s="12"/>
      <c r="W327" s="12">
        <v>326.0</v>
      </c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</row>
    <row r="328">
      <c r="S328" s="12"/>
      <c r="T328" s="12"/>
      <c r="U328" s="12"/>
      <c r="V328" s="12"/>
      <c r="W328" s="12">
        <v>327.0</v>
      </c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</row>
    <row r="329">
      <c r="S329" s="12"/>
      <c r="T329" s="12"/>
      <c r="U329" s="12"/>
      <c r="V329" s="12"/>
      <c r="W329" s="12">
        <v>328.0</v>
      </c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</row>
    <row r="330">
      <c r="S330" s="12"/>
      <c r="T330" s="12"/>
      <c r="U330" s="12"/>
      <c r="V330" s="12"/>
      <c r="W330" s="12">
        <v>329.0</v>
      </c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</row>
    <row r="331">
      <c r="S331" s="12"/>
      <c r="T331" s="12"/>
      <c r="U331" s="12"/>
      <c r="V331" s="12"/>
      <c r="W331" s="12">
        <v>330.0</v>
      </c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</row>
    <row r="332">
      <c r="S332" s="12"/>
      <c r="T332" s="12"/>
      <c r="U332" s="12"/>
      <c r="V332" s="12"/>
      <c r="W332" s="12">
        <v>331.0</v>
      </c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</row>
    <row r="333">
      <c r="S333" s="12"/>
      <c r="T333" s="12"/>
      <c r="U333" s="12"/>
      <c r="V333" s="12"/>
      <c r="W333" s="12">
        <v>332.0</v>
      </c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</row>
    <row r="334">
      <c r="S334" s="12"/>
      <c r="T334" s="12"/>
      <c r="U334" s="12"/>
      <c r="V334" s="12"/>
      <c r="W334" s="12">
        <v>333.0</v>
      </c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</row>
    <row r="335">
      <c r="S335" s="12"/>
      <c r="T335" s="12"/>
      <c r="U335" s="12"/>
      <c r="V335" s="12"/>
      <c r="W335" s="12">
        <v>334.0</v>
      </c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</row>
    <row r="336">
      <c r="S336" s="12"/>
      <c r="T336" s="12"/>
      <c r="U336" s="12"/>
      <c r="V336" s="12"/>
      <c r="W336" s="12">
        <v>335.0</v>
      </c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</row>
    <row r="337">
      <c r="S337" s="12"/>
      <c r="T337" s="12"/>
      <c r="U337" s="12"/>
      <c r="V337" s="12"/>
      <c r="W337" s="12">
        <v>336.0</v>
      </c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</row>
    <row r="338">
      <c r="S338" s="12"/>
      <c r="T338" s="12"/>
      <c r="U338" s="12"/>
      <c r="V338" s="12"/>
      <c r="W338" s="12">
        <v>337.0</v>
      </c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</row>
    <row r="339">
      <c r="S339" s="12"/>
      <c r="T339" s="12"/>
      <c r="U339" s="12"/>
      <c r="V339" s="12"/>
      <c r="W339" s="12">
        <v>338.0</v>
      </c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</row>
    <row r="340">
      <c r="S340" s="12"/>
      <c r="T340" s="12"/>
      <c r="U340" s="12"/>
      <c r="V340" s="12"/>
      <c r="W340" s="12">
        <v>339.0</v>
      </c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</row>
    <row r="341">
      <c r="S341" s="12"/>
      <c r="T341" s="12"/>
      <c r="U341" s="12"/>
      <c r="V341" s="12"/>
      <c r="W341" s="12">
        <v>340.0</v>
      </c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</row>
    <row r="342">
      <c r="S342" s="12"/>
      <c r="T342" s="12"/>
      <c r="U342" s="12"/>
      <c r="V342" s="12"/>
      <c r="W342" s="12">
        <v>341.0</v>
      </c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</row>
    <row r="343">
      <c r="S343" s="12"/>
      <c r="T343" s="12"/>
      <c r="U343" s="12"/>
      <c r="V343" s="12"/>
      <c r="W343" s="12">
        <v>342.0</v>
      </c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</row>
    <row r="344">
      <c r="S344" s="12"/>
      <c r="T344" s="12"/>
      <c r="U344" s="12"/>
      <c r="V344" s="12"/>
      <c r="W344" s="12">
        <v>343.0</v>
      </c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</row>
    <row r="345">
      <c r="S345" s="12"/>
      <c r="T345" s="12"/>
      <c r="U345" s="12"/>
      <c r="V345" s="12"/>
      <c r="W345" s="12">
        <v>344.0</v>
      </c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</row>
    <row r="346">
      <c r="S346" s="12"/>
      <c r="T346" s="12"/>
      <c r="U346" s="12"/>
      <c r="V346" s="12"/>
      <c r="W346" s="12">
        <v>345.0</v>
      </c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</row>
    <row r="347">
      <c r="S347" s="12"/>
      <c r="T347" s="12"/>
      <c r="U347" s="12"/>
      <c r="V347" s="12"/>
      <c r="W347" s="12">
        <v>346.0</v>
      </c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</row>
    <row r="348">
      <c r="S348" s="12"/>
      <c r="T348" s="12"/>
      <c r="U348" s="12"/>
      <c r="V348" s="12"/>
      <c r="W348" s="12">
        <v>347.0</v>
      </c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</row>
    <row r="349">
      <c r="S349" s="12"/>
      <c r="T349" s="12"/>
      <c r="U349" s="12"/>
      <c r="V349" s="12"/>
      <c r="W349" s="12">
        <v>348.0</v>
      </c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</row>
    <row r="350">
      <c r="S350" s="12"/>
      <c r="T350" s="12"/>
      <c r="U350" s="12"/>
      <c r="V350" s="12"/>
      <c r="W350" s="12">
        <v>349.0</v>
      </c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</row>
    <row r="351">
      <c r="S351" s="12"/>
      <c r="T351" s="12"/>
      <c r="U351" s="12"/>
      <c r="V351" s="12"/>
      <c r="W351" s="12">
        <v>350.0</v>
      </c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</row>
    <row r="352">
      <c r="S352" s="12"/>
      <c r="T352" s="12"/>
      <c r="U352" s="12"/>
      <c r="V352" s="12"/>
      <c r="W352" s="12">
        <v>351.0</v>
      </c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</row>
    <row r="353">
      <c r="S353" s="12"/>
      <c r="T353" s="12"/>
      <c r="U353" s="12"/>
      <c r="V353" s="12"/>
      <c r="W353" s="12">
        <v>352.0</v>
      </c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</row>
    <row r="354">
      <c r="S354" s="12"/>
      <c r="T354" s="12"/>
      <c r="U354" s="12"/>
      <c r="V354" s="12"/>
      <c r="W354" s="12">
        <v>353.0</v>
      </c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</row>
    <row r="355">
      <c r="S355" s="12"/>
      <c r="T355" s="12"/>
      <c r="U355" s="12"/>
      <c r="V355" s="12"/>
      <c r="W355" s="12">
        <v>354.0</v>
      </c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</row>
    <row r="356">
      <c r="S356" s="12"/>
      <c r="T356" s="12"/>
      <c r="U356" s="12"/>
      <c r="V356" s="12"/>
      <c r="W356" s="12">
        <v>355.0</v>
      </c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</row>
    <row r="357">
      <c r="S357" s="12"/>
      <c r="T357" s="12"/>
      <c r="U357" s="12"/>
      <c r="V357" s="12"/>
      <c r="W357" s="12">
        <v>356.0</v>
      </c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</row>
    <row r="358">
      <c r="S358" s="12"/>
      <c r="T358" s="12"/>
      <c r="U358" s="12"/>
      <c r="V358" s="12"/>
      <c r="W358" s="12">
        <v>357.0</v>
      </c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</row>
    <row r="359">
      <c r="S359" s="12"/>
      <c r="T359" s="12"/>
      <c r="U359" s="12"/>
      <c r="V359" s="12"/>
      <c r="W359" s="12">
        <v>358.0</v>
      </c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</row>
    <row r="360">
      <c r="S360" s="12"/>
      <c r="T360" s="12"/>
      <c r="U360" s="12"/>
      <c r="V360" s="12"/>
      <c r="W360" s="12">
        <v>359.0</v>
      </c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</row>
    <row r="361">
      <c r="S361" s="12"/>
      <c r="T361" s="12"/>
      <c r="U361" s="12"/>
      <c r="V361" s="12"/>
      <c r="W361" s="12">
        <v>360.0</v>
      </c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</row>
    <row r="362">
      <c r="S362" s="12"/>
      <c r="T362" s="12"/>
      <c r="U362" s="12"/>
      <c r="V362" s="12"/>
      <c r="W362" s="12">
        <v>361.0</v>
      </c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</row>
    <row r="363">
      <c r="S363" s="12"/>
      <c r="T363" s="12"/>
      <c r="U363" s="12"/>
      <c r="V363" s="12"/>
      <c r="W363" s="12">
        <v>362.0</v>
      </c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</row>
    <row r="364">
      <c r="S364" s="12"/>
      <c r="T364" s="12"/>
      <c r="U364" s="12"/>
      <c r="V364" s="12"/>
      <c r="W364" s="12">
        <v>363.0</v>
      </c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</row>
    <row r="365">
      <c r="S365" s="12"/>
      <c r="T365" s="12"/>
      <c r="U365" s="12"/>
      <c r="V365" s="12"/>
      <c r="W365" s="12">
        <v>364.0</v>
      </c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</row>
    <row r="366">
      <c r="S366" s="12"/>
      <c r="T366" s="12"/>
      <c r="U366" s="12"/>
      <c r="V366" s="12"/>
      <c r="W366" s="12">
        <v>365.0</v>
      </c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</row>
    <row r="367">
      <c r="S367" s="12"/>
      <c r="T367" s="12"/>
      <c r="U367" s="12"/>
      <c r="V367" s="12"/>
      <c r="W367" s="12">
        <v>366.0</v>
      </c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</row>
    <row r="368">
      <c r="S368" s="12"/>
      <c r="T368" s="12"/>
      <c r="U368" s="12"/>
      <c r="V368" s="12"/>
      <c r="W368" s="12">
        <v>367.0</v>
      </c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</row>
    <row r="369">
      <c r="S369" s="12"/>
      <c r="T369" s="12"/>
      <c r="U369" s="12"/>
      <c r="V369" s="12"/>
      <c r="W369" s="12">
        <v>368.0</v>
      </c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</row>
    <row r="370">
      <c r="S370" s="12"/>
      <c r="T370" s="12"/>
      <c r="U370" s="12"/>
      <c r="V370" s="12"/>
      <c r="W370" s="12">
        <v>369.0</v>
      </c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</row>
    <row r="371">
      <c r="S371" s="12"/>
      <c r="T371" s="12"/>
      <c r="U371" s="12"/>
      <c r="V371" s="12"/>
      <c r="W371" s="12">
        <v>370.0</v>
      </c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</row>
    <row r="372">
      <c r="S372" s="12"/>
      <c r="T372" s="12"/>
      <c r="U372" s="12"/>
      <c r="V372" s="12"/>
      <c r="W372" s="12">
        <v>371.0</v>
      </c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</row>
    <row r="373">
      <c r="S373" s="12"/>
      <c r="T373" s="12"/>
      <c r="U373" s="12"/>
      <c r="V373" s="12"/>
      <c r="W373" s="12">
        <v>372.0</v>
      </c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</row>
    <row r="374">
      <c r="S374" s="12"/>
      <c r="T374" s="12"/>
      <c r="U374" s="12"/>
      <c r="V374" s="12"/>
      <c r="W374" s="12">
        <v>373.0</v>
      </c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</row>
    <row r="375">
      <c r="S375" s="12"/>
      <c r="T375" s="12"/>
      <c r="U375" s="12"/>
      <c r="V375" s="12"/>
      <c r="W375" s="12">
        <v>374.0</v>
      </c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</row>
    <row r="376">
      <c r="S376" s="12"/>
      <c r="T376" s="12"/>
      <c r="U376" s="12"/>
      <c r="V376" s="12"/>
      <c r="W376" s="12">
        <v>375.0</v>
      </c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</row>
    <row r="377">
      <c r="S377" s="12"/>
      <c r="T377" s="12"/>
      <c r="U377" s="12"/>
      <c r="V377" s="12"/>
      <c r="W377" s="12">
        <v>376.0</v>
      </c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</row>
    <row r="378">
      <c r="S378" s="12"/>
      <c r="T378" s="12"/>
      <c r="U378" s="12"/>
      <c r="V378" s="12"/>
      <c r="W378" s="12">
        <v>377.0</v>
      </c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</row>
    <row r="379">
      <c r="S379" s="12"/>
      <c r="T379" s="12"/>
      <c r="U379" s="12"/>
      <c r="V379" s="12"/>
      <c r="W379" s="12">
        <v>378.0</v>
      </c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</row>
    <row r="380">
      <c r="S380" s="12"/>
      <c r="T380" s="12"/>
      <c r="U380" s="12"/>
      <c r="V380" s="12"/>
      <c r="W380" s="12">
        <v>379.0</v>
      </c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</row>
    <row r="381">
      <c r="S381" s="12"/>
      <c r="T381" s="12"/>
      <c r="U381" s="12"/>
      <c r="V381" s="12"/>
      <c r="W381" s="12">
        <v>380.0</v>
      </c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</row>
    <row r="382">
      <c r="S382" s="12"/>
      <c r="T382" s="12"/>
      <c r="U382" s="12"/>
      <c r="V382" s="12"/>
      <c r="W382" s="12">
        <v>381.0</v>
      </c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</row>
    <row r="383">
      <c r="S383" s="12"/>
      <c r="T383" s="12"/>
      <c r="U383" s="12"/>
      <c r="V383" s="12"/>
      <c r="W383" s="12">
        <v>382.0</v>
      </c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</row>
    <row r="384">
      <c r="S384" s="12"/>
      <c r="T384" s="12"/>
      <c r="U384" s="12"/>
      <c r="V384" s="12"/>
      <c r="W384" s="12">
        <v>383.0</v>
      </c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</row>
    <row r="385">
      <c r="S385" s="12"/>
      <c r="T385" s="12"/>
      <c r="U385" s="12"/>
      <c r="V385" s="12"/>
      <c r="W385" s="12">
        <v>384.0</v>
      </c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</row>
    <row r="386">
      <c r="S386" s="12"/>
      <c r="T386" s="12"/>
      <c r="U386" s="12"/>
      <c r="V386" s="12"/>
      <c r="W386" s="12">
        <v>385.0</v>
      </c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</row>
    <row r="387">
      <c r="S387" s="12"/>
      <c r="T387" s="12"/>
      <c r="U387" s="12"/>
      <c r="V387" s="12"/>
      <c r="W387" s="12">
        <v>386.0</v>
      </c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</row>
    <row r="388">
      <c r="S388" s="12"/>
      <c r="T388" s="12"/>
      <c r="U388" s="12"/>
      <c r="V388" s="12"/>
      <c r="W388" s="12">
        <v>387.0</v>
      </c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</row>
    <row r="389">
      <c r="S389" s="12"/>
      <c r="T389" s="12"/>
      <c r="U389" s="12"/>
      <c r="V389" s="12"/>
      <c r="W389" s="12">
        <v>388.0</v>
      </c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</row>
    <row r="390">
      <c r="S390" s="12"/>
      <c r="T390" s="12"/>
      <c r="U390" s="12"/>
      <c r="V390" s="12"/>
      <c r="W390" s="12">
        <v>389.0</v>
      </c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</row>
    <row r="391">
      <c r="S391" s="12"/>
      <c r="T391" s="12"/>
      <c r="U391" s="12"/>
      <c r="V391" s="12"/>
      <c r="W391" s="12">
        <v>390.0</v>
      </c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</row>
    <row r="392">
      <c r="S392" s="12"/>
      <c r="T392" s="12"/>
      <c r="U392" s="12"/>
      <c r="V392" s="12"/>
      <c r="W392" s="12">
        <v>391.0</v>
      </c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</row>
    <row r="393">
      <c r="S393" s="12"/>
      <c r="T393" s="12"/>
      <c r="U393" s="12"/>
      <c r="V393" s="12"/>
      <c r="W393" s="12">
        <v>392.0</v>
      </c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</row>
    <row r="394">
      <c r="S394" s="12"/>
      <c r="T394" s="12"/>
      <c r="U394" s="12"/>
      <c r="V394" s="12"/>
      <c r="W394" s="12">
        <v>393.0</v>
      </c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</row>
    <row r="395">
      <c r="S395" s="12"/>
      <c r="T395" s="12"/>
      <c r="U395" s="12"/>
      <c r="V395" s="12"/>
      <c r="W395" s="12">
        <v>394.0</v>
      </c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</row>
    <row r="396">
      <c r="S396" s="12"/>
      <c r="T396" s="12"/>
      <c r="U396" s="12"/>
      <c r="V396" s="12"/>
      <c r="W396" s="12">
        <v>395.0</v>
      </c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</row>
    <row r="397">
      <c r="S397" s="12"/>
      <c r="T397" s="12"/>
      <c r="U397" s="12"/>
      <c r="V397" s="12"/>
      <c r="W397" s="12">
        <v>396.0</v>
      </c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</row>
    <row r="398">
      <c r="S398" s="12"/>
      <c r="T398" s="12"/>
      <c r="U398" s="12"/>
      <c r="V398" s="12"/>
      <c r="W398" s="12">
        <v>397.0</v>
      </c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</row>
    <row r="399">
      <c r="S399" s="12"/>
      <c r="T399" s="12"/>
      <c r="U399" s="12"/>
      <c r="V399" s="12"/>
      <c r="W399" s="12">
        <v>398.0</v>
      </c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</row>
    <row r="400">
      <c r="S400" s="12"/>
      <c r="T400" s="12"/>
      <c r="U400" s="12"/>
      <c r="V400" s="12"/>
      <c r="W400" s="12">
        <v>399.0</v>
      </c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</row>
    <row r="401">
      <c r="S401" s="12"/>
      <c r="T401" s="12"/>
      <c r="U401" s="12"/>
      <c r="V401" s="12"/>
      <c r="W401" s="12">
        <v>400.0</v>
      </c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</row>
    <row r="402">
      <c r="S402" s="12"/>
      <c r="T402" s="12"/>
      <c r="U402" s="12"/>
      <c r="V402" s="12"/>
      <c r="W402" s="12">
        <v>401.0</v>
      </c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</row>
    <row r="403">
      <c r="S403" s="12"/>
      <c r="T403" s="12"/>
      <c r="U403" s="12"/>
      <c r="V403" s="12"/>
      <c r="W403" s="12">
        <v>402.0</v>
      </c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</row>
    <row r="404">
      <c r="S404" s="12"/>
      <c r="T404" s="12"/>
      <c r="U404" s="12"/>
      <c r="V404" s="12"/>
      <c r="W404" s="12">
        <v>403.0</v>
      </c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</row>
    <row r="405">
      <c r="S405" s="12"/>
      <c r="T405" s="12"/>
      <c r="U405" s="12"/>
      <c r="V405" s="12"/>
      <c r="W405" s="12">
        <v>404.0</v>
      </c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</row>
    <row r="406">
      <c r="S406" s="12"/>
      <c r="T406" s="12"/>
      <c r="U406" s="12"/>
      <c r="V406" s="12"/>
      <c r="W406" s="12">
        <v>405.0</v>
      </c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</row>
    <row r="407">
      <c r="S407" s="12"/>
      <c r="T407" s="12"/>
      <c r="U407" s="12"/>
      <c r="V407" s="12"/>
      <c r="W407" s="12">
        <v>406.0</v>
      </c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</row>
    <row r="408">
      <c r="S408" s="12"/>
      <c r="T408" s="12"/>
      <c r="U408" s="12"/>
      <c r="V408" s="12"/>
      <c r="W408" s="12">
        <v>407.0</v>
      </c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</row>
    <row r="409">
      <c r="S409" s="12"/>
      <c r="T409" s="12"/>
      <c r="U409" s="12"/>
      <c r="V409" s="12"/>
      <c r="W409" s="12">
        <v>408.0</v>
      </c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</row>
    <row r="410">
      <c r="S410" s="12"/>
      <c r="T410" s="12"/>
      <c r="U410" s="12"/>
      <c r="V410" s="12"/>
      <c r="W410" s="12">
        <v>409.0</v>
      </c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</row>
    <row r="411">
      <c r="S411" s="12"/>
      <c r="T411" s="12"/>
      <c r="U411" s="12"/>
      <c r="V411" s="12"/>
      <c r="W411" s="12">
        <v>410.0</v>
      </c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</row>
    <row r="412">
      <c r="S412" s="12"/>
      <c r="T412" s="12"/>
      <c r="U412" s="12"/>
      <c r="V412" s="12"/>
      <c r="W412" s="12">
        <v>411.0</v>
      </c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</row>
    <row r="413">
      <c r="S413" s="12"/>
      <c r="T413" s="12"/>
      <c r="U413" s="12"/>
      <c r="V413" s="12"/>
      <c r="W413" s="12">
        <v>412.0</v>
      </c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</row>
    <row r="414">
      <c r="S414" s="12"/>
      <c r="T414" s="12"/>
      <c r="U414" s="12"/>
      <c r="V414" s="12"/>
      <c r="W414" s="12">
        <v>413.0</v>
      </c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</row>
    <row r="415">
      <c r="S415" s="12"/>
      <c r="T415" s="12"/>
      <c r="U415" s="12"/>
      <c r="V415" s="12"/>
      <c r="W415" s="12">
        <v>414.0</v>
      </c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</row>
    <row r="416">
      <c r="S416" s="12"/>
      <c r="T416" s="12"/>
      <c r="U416" s="12"/>
      <c r="V416" s="12"/>
      <c r="W416" s="12">
        <v>415.0</v>
      </c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</row>
    <row r="417">
      <c r="S417" s="12"/>
      <c r="T417" s="12"/>
      <c r="U417" s="12"/>
      <c r="V417" s="12"/>
      <c r="W417" s="12">
        <v>416.0</v>
      </c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</row>
    <row r="418">
      <c r="S418" s="12"/>
      <c r="T418" s="12"/>
      <c r="U418" s="12"/>
      <c r="V418" s="12"/>
      <c r="W418" s="12">
        <v>417.0</v>
      </c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</row>
    <row r="419">
      <c r="S419" s="12"/>
      <c r="T419" s="12"/>
      <c r="U419" s="12"/>
      <c r="V419" s="12"/>
      <c r="W419" s="12">
        <v>418.0</v>
      </c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</row>
    <row r="420">
      <c r="S420" s="12"/>
      <c r="T420" s="12"/>
      <c r="U420" s="12"/>
      <c r="V420" s="12"/>
      <c r="W420" s="12">
        <v>419.0</v>
      </c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</row>
    <row r="421">
      <c r="S421" s="12"/>
      <c r="T421" s="12"/>
      <c r="U421" s="12"/>
      <c r="V421" s="12"/>
      <c r="W421" s="12">
        <v>420.0</v>
      </c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</row>
    <row r="422">
      <c r="S422" s="12"/>
      <c r="T422" s="12"/>
      <c r="U422" s="12"/>
      <c r="V422" s="12"/>
      <c r="W422" s="12">
        <v>421.0</v>
      </c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</row>
    <row r="423">
      <c r="S423" s="12"/>
      <c r="T423" s="12"/>
      <c r="U423" s="12"/>
      <c r="V423" s="12"/>
      <c r="W423" s="12">
        <v>422.0</v>
      </c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</row>
    <row r="424">
      <c r="S424" s="12"/>
      <c r="T424" s="12"/>
      <c r="U424" s="12"/>
      <c r="V424" s="12"/>
      <c r="W424" s="12">
        <v>423.0</v>
      </c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</row>
    <row r="425">
      <c r="S425" s="12"/>
      <c r="T425" s="12"/>
      <c r="U425" s="12"/>
      <c r="V425" s="12"/>
      <c r="W425" s="12">
        <v>424.0</v>
      </c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</row>
    <row r="426">
      <c r="S426" s="12"/>
      <c r="T426" s="12"/>
      <c r="U426" s="12"/>
      <c r="V426" s="12"/>
      <c r="W426" s="12">
        <v>425.0</v>
      </c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</row>
    <row r="427">
      <c r="S427" s="12"/>
      <c r="T427" s="12"/>
      <c r="U427" s="12"/>
      <c r="V427" s="12"/>
      <c r="W427" s="12">
        <v>426.0</v>
      </c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</row>
    <row r="428">
      <c r="S428" s="12"/>
      <c r="T428" s="12"/>
      <c r="U428" s="12"/>
      <c r="V428" s="12"/>
      <c r="W428" s="12">
        <v>427.0</v>
      </c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</row>
    <row r="429">
      <c r="S429" s="12"/>
      <c r="T429" s="12"/>
      <c r="U429" s="12"/>
      <c r="V429" s="12"/>
      <c r="W429" s="12">
        <v>428.0</v>
      </c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</row>
    <row r="430">
      <c r="S430" s="12"/>
      <c r="T430" s="12"/>
      <c r="U430" s="12"/>
      <c r="V430" s="12"/>
      <c r="W430" s="12">
        <v>429.0</v>
      </c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</row>
    <row r="431">
      <c r="S431" s="12"/>
      <c r="T431" s="12"/>
      <c r="U431" s="12"/>
      <c r="V431" s="12"/>
      <c r="W431" s="12">
        <v>430.0</v>
      </c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</row>
    <row r="432">
      <c r="S432" s="12"/>
      <c r="T432" s="12"/>
      <c r="U432" s="12"/>
      <c r="V432" s="12"/>
      <c r="W432" s="12">
        <v>431.0</v>
      </c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</row>
    <row r="433">
      <c r="S433" s="12"/>
      <c r="T433" s="12"/>
      <c r="U433" s="12"/>
      <c r="V433" s="12"/>
      <c r="W433" s="12">
        <v>432.0</v>
      </c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</row>
    <row r="434">
      <c r="S434" s="12"/>
      <c r="T434" s="12"/>
      <c r="U434" s="12"/>
      <c r="V434" s="12"/>
      <c r="W434" s="12">
        <v>433.0</v>
      </c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</row>
    <row r="435">
      <c r="S435" s="12"/>
      <c r="T435" s="12"/>
      <c r="U435" s="12"/>
      <c r="V435" s="12"/>
      <c r="W435" s="12">
        <v>434.0</v>
      </c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</row>
    <row r="436">
      <c r="S436" s="12"/>
      <c r="T436" s="12"/>
      <c r="U436" s="12"/>
      <c r="V436" s="12"/>
      <c r="W436" s="12">
        <v>435.0</v>
      </c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</row>
    <row r="437">
      <c r="S437" s="12"/>
      <c r="T437" s="12"/>
      <c r="U437" s="12"/>
      <c r="V437" s="12"/>
      <c r="W437" s="12">
        <v>436.0</v>
      </c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</row>
    <row r="438">
      <c r="S438" s="12"/>
      <c r="T438" s="12"/>
      <c r="U438" s="12"/>
      <c r="V438" s="12"/>
      <c r="W438" s="12">
        <v>437.0</v>
      </c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</row>
    <row r="439">
      <c r="S439" s="12"/>
      <c r="T439" s="12"/>
      <c r="U439" s="12"/>
      <c r="V439" s="12"/>
      <c r="W439" s="12">
        <v>438.0</v>
      </c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</row>
    <row r="440">
      <c r="S440" s="12"/>
      <c r="T440" s="12"/>
      <c r="U440" s="12"/>
      <c r="V440" s="12"/>
      <c r="W440" s="12">
        <v>439.0</v>
      </c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</row>
    <row r="441">
      <c r="S441" s="12"/>
      <c r="T441" s="12"/>
      <c r="U441" s="12"/>
      <c r="V441" s="12"/>
      <c r="W441" s="12">
        <v>440.0</v>
      </c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</row>
    <row r="442">
      <c r="S442" s="12"/>
      <c r="T442" s="12"/>
      <c r="U442" s="12"/>
      <c r="V442" s="12"/>
      <c r="W442" s="12">
        <v>441.0</v>
      </c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</row>
    <row r="443">
      <c r="S443" s="12"/>
      <c r="T443" s="12"/>
      <c r="U443" s="12"/>
      <c r="V443" s="12"/>
      <c r="W443" s="12">
        <v>442.0</v>
      </c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</row>
    <row r="444">
      <c r="S444" s="12"/>
      <c r="T444" s="12"/>
      <c r="U444" s="12"/>
      <c r="V444" s="12"/>
      <c r="W444" s="12">
        <v>443.0</v>
      </c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</row>
    <row r="445">
      <c r="S445" s="12"/>
      <c r="T445" s="12"/>
      <c r="U445" s="12"/>
      <c r="V445" s="12"/>
      <c r="W445" s="12">
        <v>444.0</v>
      </c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</row>
    <row r="446">
      <c r="S446" s="12"/>
      <c r="T446" s="12"/>
      <c r="U446" s="12"/>
      <c r="V446" s="12"/>
      <c r="W446" s="12">
        <v>445.0</v>
      </c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</row>
    <row r="447">
      <c r="S447" s="12"/>
      <c r="T447" s="12"/>
      <c r="U447" s="12"/>
      <c r="V447" s="12"/>
      <c r="W447" s="12">
        <v>446.0</v>
      </c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</row>
    <row r="448">
      <c r="S448" s="12"/>
      <c r="T448" s="12"/>
      <c r="U448" s="12"/>
      <c r="V448" s="12"/>
      <c r="W448" s="12">
        <v>447.0</v>
      </c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</row>
    <row r="449">
      <c r="S449" s="12"/>
      <c r="T449" s="12"/>
      <c r="U449" s="12"/>
      <c r="V449" s="12"/>
      <c r="W449" s="12">
        <v>448.0</v>
      </c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</row>
    <row r="450">
      <c r="S450" s="12"/>
      <c r="T450" s="12"/>
      <c r="U450" s="12"/>
      <c r="V450" s="12"/>
      <c r="W450" s="12">
        <v>449.0</v>
      </c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</row>
    <row r="451">
      <c r="S451" s="12"/>
      <c r="T451" s="12"/>
      <c r="U451" s="12"/>
      <c r="V451" s="12"/>
      <c r="W451" s="12">
        <v>450.0</v>
      </c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</row>
    <row r="452">
      <c r="S452" s="12"/>
      <c r="T452" s="12"/>
      <c r="U452" s="12"/>
      <c r="V452" s="12"/>
      <c r="W452" s="12">
        <v>451.0</v>
      </c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</row>
    <row r="453">
      <c r="S453" s="12"/>
      <c r="T453" s="12"/>
      <c r="U453" s="12"/>
      <c r="V453" s="12"/>
      <c r="W453" s="12">
        <v>452.0</v>
      </c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</row>
    <row r="454">
      <c r="S454" s="12"/>
      <c r="T454" s="12"/>
      <c r="U454" s="12"/>
      <c r="V454" s="12"/>
      <c r="W454" s="12">
        <v>453.0</v>
      </c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</row>
    <row r="455">
      <c r="S455" s="12"/>
      <c r="T455" s="12"/>
      <c r="U455" s="12"/>
      <c r="V455" s="12"/>
      <c r="W455" s="12">
        <v>454.0</v>
      </c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</row>
    <row r="456">
      <c r="S456" s="12"/>
      <c r="T456" s="12"/>
      <c r="U456" s="12"/>
      <c r="V456" s="12"/>
      <c r="W456" s="12">
        <v>455.0</v>
      </c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</row>
    <row r="457">
      <c r="S457" s="12"/>
      <c r="T457" s="12"/>
      <c r="U457" s="12"/>
      <c r="V457" s="12"/>
      <c r="W457" s="12">
        <v>456.0</v>
      </c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</row>
    <row r="458">
      <c r="S458" s="12"/>
      <c r="T458" s="12"/>
      <c r="U458" s="12"/>
      <c r="V458" s="12"/>
      <c r="W458" s="12">
        <v>457.0</v>
      </c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</row>
    <row r="459">
      <c r="S459" s="12"/>
      <c r="T459" s="12"/>
      <c r="U459" s="12"/>
      <c r="V459" s="12"/>
      <c r="W459" s="12">
        <v>458.0</v>
      </c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</row>
    <row r="460">
      <c r="S460" s="12"/>
      <c r="T460" s="12"/>
      <c r="U460" s="12"/>
      <c r="V460" s="12"/>
      <c r="W460" s="12">
        <v>459.0</v>
      </c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</row>
    <row r="461">
      <c r="S461" s="12"/>
      <c r="T461" s="12"/>
      <c r="U461" s="12"/>
      <c r="V461" s="12"/>
      <c r="W461" s="12">
        <v>460.0</v>
      </c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</row>
    <row r="462">
      <c r="S462" s="12"/>
      <c r="T462" s="12"/>
      <c r="U462" s="12"/>
      <c r="V462" s="12"/>
      <c r="W462" s="12">
        <v>461.0</v>
      </c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</row>
    <row r="463">
      <c r="S463" s="12"/>
      <c r="T463" s="12"/>
      <c r="U463" s="12"/>
      <c r="V463" s="12"/>
      <c r="W463" s="12">
        <v>462.0</v>
      </c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</row>
    <row r="464">
      <c r="S464" s="12"/>
      <c r="T464" s="12"/>
      <c r="U464" s="12"/>
      <c r="V464" s="12"/>
      <c r="W464" s="12">
        <v>463.0</v>
      </c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</row>
    <row r="465">
      <c r="S465" s="12"/>
      <c r="T465" s="12"/>
      <c r="U465" s="12"/>
      <c r="V465" s="12"/>
      <c r="W465" s="12">
        <v>464.0</v>
      </c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</row>
    <row r="466">
      <c r="S466" s="12"/>
      <c r="T466" s="12"/>
      <c r="U466" s="12"/>
      <c r="V466" s="12"/>
      <c r="W466" s="12">
        <v>465.0</v>
      </c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</row>
    <row r="467">
      <c r="S467" s="12"/>
      <c r="T467" s="12"/>
      <c r="U467" s="12"/>
      <c r="V467" s="12"/>
      <c r="W467" s="12">
        <v>466.0</v>
      </c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</row>
    <row r="468">
      <c r="S468" s="12"/>
      <c r="T468" s="12"/>
      <c r="U468" s="12"/>
      <c r="V468" s="12"/>
      <c r="W468" s="12">
        <v>467.0</v>
      </c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</row>
    <row r="469">
      <c r="S469" s="12"/>
      <c r="T469" s="12"/>
      <c r="U469" s="12"/>
      <c r="V469" s="12"/>
      <c r="W469" s="12">
        <v>468.0</v>
      </c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</row>
    <row r="470">
      <c r="S470" s="12"/>
      <c r="T470" s="12"/>
      <c r="U470" s="12"/>
      <c r="V470" s="12"/>
      <c r="W470" s="12">
        <v>469.0</v>
      </c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</row>
    <row r="471">
      <c r="S471" s="12"/>
      <c r="T471" s="12"/>
      <c r="U471" s="12"/>
      <c r="V471" s="12"/>
      <c r="W471" s="12">
        <v>470.0</v>
      </c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</row>
    <row r="472">
      <c r="S472" s="12"/>
      <c r="T472" s="12"/>
      <c r="U472" s="12"/>
      <c r="V472" s="12"/>
      <c r="W472" s="12">
        <v>471.0</v>
      </c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</row>
    <row r="473">
      <c r="S473" s="12"/>
      <c r="T473" s="12"/>
      <c r="U473" s="12"/>
      <c r="V473" s="12"/>
      <c r="W473" s="12">
        <v>472.0</v>
      </c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</row>
    <row r="474">
      <c r="S474" s="12"/>
      <c r="T474" s="12"/>
      <c r="U474" s="12"/>
      <c r="V474" s="12"/>
      <c r="W474" s="12">
        <v>473.0</v>
      </c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</row>
    <row r="475">
      <c r="S475" s="12"/>
      <c r="T475" s="12"/>
      <c r="U475" s="12"/>
      <c r="V475" s="12"/>
      <c r="W475" s="12">
        <v>474.0</v>
      </c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</row>
    <row r="476">
      <c r="S476" s="12"/>
      <c r="T476" s="12"/>
      <c r="U476" s="12"/>
      <c r="V476" s="12"/>
      <c r="W476" s="12">
        <v>475.0</v>
      </c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</row>
    <row r="477">
      <c r="S477" s="12"/>
      <c r="T477" s="12"/>
      <c r="U477" s="12"/>
      <c r="V477" s="12"/>
      <c r="W477" s="12">
        <v>476.0</v>
      </c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</row>
    <row r="478">
      <c r="S478" s="12"/>
      <c r="T478" s="12"/>
      <c r="U478" s="12"/>
      <c r="V478" s="12"/>
      <c r="W478" s="12">
        <v>477.0</v>
      </c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</row>
    <row r="479">
      <c r="S479" s="12"/>
      <c r="T479" s="12"/>
      <c r="U479" s="12"/>
      <c r="V479" s="12"/>
      <c r="W479" s="12">
        <v>478.0</v>
      </c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</row>
    <row r="480">
      <c r="S480" s="12"/>
      <c r="T480" s="12"/>
      <c r="U480" s="12"/>
      <c r="V480" s="12"/>
      <c r="W480" s="12">
        <v>479.0</v>
      </c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</row>
    <row r="481">
      <c r="S481" s="12"/>
      <c r="T481" s="12"/>
      <c r="U481" s="12"/>
      <c r="V481" s="12"/>
      <c r="W481" s="12">
        <v>480.0</v>
      </c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</row>
    <row r="482">
      <c r="S482" s="12"/>
      <c r="T482" s="12"/>
      <c r="U482" s="12"/>
      <c r="V482" s="12"/>
      <c r="W482" s="12">
        <v>481.0</v>
      </c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</row>
    <row r="483">
      <c r="S483" s="12"/>
      <c r="T483" s="12"/>
      <c r="U483" s="12"/>
      <c r="V483" s="12"/>
      <c r="W483" s="12">
        <v>482.0</v>
      </c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</row>
    <row r="484">
      <c r="S484" s="12"/>
      <c r="T484" s="12"/>
      <c r="U484" s="12"/>
      <c r="V484" s="12"/>
      <c r="W484" s="12">
        <v>483.0</v>
      </c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</row>
    <row r="485">
      <c r="S485" s="12"/>
      <c r="T485" s="12"/>
      <c r="U485" s="12"/>
      <c r="V485" s="12"/>
      <c r="W485" s="12">
        <v>484.0</v>
      </c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</row>
    <row r="486">
      <c r="S486" s="12"/>
      <c r="T486" s="12"/>
      <c r="U486" s="12"/>
      <c r="V486" s="12"/>
      <c r="W486" s="12">
        <v>485.0</v>
      </c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</row>
    <row r="487">
      <c r="S487" s="12"/>
      <c r="T487" s="12"/>
      <c r="U487" s="12"/>
      <c r="V487" s="12"/>
      <c r="W487" s="12">
        <v>486.0</v>
      </c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</row>
    <row r="488">
      <c r="S488" s="12"/>
      <c r="T488" s="12"/>
      <c r="U488" s="12"/>
      <c r="V488" s="12"/>
      <c r="W488" s="12">
        <v>487.0</v>
      </c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</row>
    <row r="489">
      <c r="S489" s="12"/>
      <c r="T489" s="12"/>
      <c r="U489" s="12"/>
      <c r="V489" s="12"/>
      <c r="W489" s="12">
        <v>488.0</v>
      </c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</row>
    <row r="490">
      <c r="S490" s="12"/>
      <c r="T490" s="12"/>
      <c r="U490" s="12"/>
      <c r="V490" s="12"/>
      <c r="W490" s="12">
        <v>489.0</v>
      </c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</row>
    <row r="491">
      <c r="S491" s="12"/>
      <c r="T491" s="12"/>
      <c r="U491" s="12"/>
      <c r="V491" s="12"/>
      <c r="W491" s="12">
        <v>490.0</v>
      </c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</row>
    <row r="492">
      <c r="S492" s="12"/>
      <c r="T492" s="12"/>
      <c r="U492" s="12"/>
      <c r="V492" s="12"/>
      <c r="W492" s="12">
        <v>491.0</v>
      </c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</row>
    <row r="493">
      <c r="S493" s="12"/>
      <c r="T493" s="12"/>
      <c r="U493" s="12"/>
      <c r="V493" s="12"/>
      <c r="W493" s="12">
        <v>492.0</v>
      </c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</row>
    <row r="494">
      <c r="S494" s="12"/>
      <c r="T494" s="12"/>
      <c r="U494" s="12"/>
      <c r="V494" s="12"/>
      <c r="W494" s="12">
        <v>493.0</v>
      </c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</row>
    <row r="495">
      <c r="S495" s="12"/>
      <c r="T495" s="12"/>
      <c r="U495" s="12"/>
      <c r="V495" s="12"/>
      <c r="W495" s="12">
        <v>494.0</v>
      </c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</row>
    <row r="496">
      <c r="S496" s="12"/>
      <c r="T496" s="12"/>
      <c r="U496" s="12"/>
      <c r="V496" s="12"/>
      <c r="W496" s="12">
        <v>495.0</v>
      </c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</row>
    <row r="497">
      <c r="S497" s="12"/>
      <c r="T497" s="12"/>
      <c r="U497" s="12"/>
      <c r="V497" s="12"/>
      <c r="W497" s="12">
        <v>496.0</v>
      </c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</row>
    <row r="498">
      <c r="S498" s="12"/>
      <c r="T498" s="12"/>
      <c r="U498" s="12"/>
      <c r="V498" s="12"/>
      <c r="W498" s="12">
        <v>497.0</v>
      </c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</row>
    <row r="499">
      <c r="S499" s="12"/>
      <c r="T499" s="12"/>
      <c r="U499" s="12"/>
      <c r="V499" s="12"/>
      <c r="W499" s="12">
        <v>498.0</v>
      </c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</row>
    <row r="500">
      <c r="S500" s="12"/>
      <c r="T500" s="12"/>
      <c r="U500" s="12"/>
      <c r="V500" s="12"/>
      <c r="W500" s="12">
        <v>499.0</v>
      </c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</row>
    <row r="501">
      <c r="S501" s="12"/>
      <c r="T501" s="12"/>
      <c r="U501" s="12"/>
      <c r="V501" s="12"/>
      <c r="W501" s="12">
        <v>500.0</v>
      </c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</row>
    <row r="502">
      <c r="S502" s="12"/>
      <c r="T502" s="12"/>
      <c r="U502" s="12"/>
      <c r="V502" s="12"/>
      <c r="W502" s="12">
        <v>501.0</v>
      </c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</row>
    <row r="503">
      <c r="S503" s="12"/>
      <c r="T503" s="12"/>
      <c r="U503" s="12"/>
      <c r="V503" s="12"/>
      <c r="W503" s="12">
        <v>502.0</v>
      </c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</row>
    <row r="504">
      <c r="S504" s="12"/>
      <c r="T504" s="12"/>
      <c r="U504" s="12"/>
      <c r="V504" s="12"/>
      <c r="W504" s="12">
        <v>503.0</v>
      </c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</row>
    <row r="505">
      <c r="S505" s="12"/>
      <c r="T505" s="12"/>
      <c r="U505" s="12"/>
      <c r="V505" s="12"/>
      <c r="W505" s="12">
        <v>504.0</v>
      </c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</row>
    <row r="506">
      <c r="S506" s="12"/>
      <c r="T506" s="12"/>
      <c r="U506" s="12"/>
      <c r="V506" s="12"/>
      <c r="W506" s="12">
        <v>505.0</v>
      </c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</row>
    <row r="507">
      <c r="S507" s="12"/>
      <c r="T507" s="12"/>
      <c r="U507" s="12"/>
      <c r="V507" s="12"/>
      <c r="W507" s="12">
        <v>506.0</v>
      </c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</row>
    <row r="508">
      <c r="S508" s="12"/>
      <c r="T508" s="12"/>
      <c r="U508" s="12"/>
      <c r="V508" s="12"/>
      <c r="W508" s="12">
        <v>507.0</v>
      </c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</row>
    <row r="509">
      <c r="S509" s="12"/>
      <c r="T509" s="12"/>
      <c r="U509" s="12"/>
      <c r="V509" s="12"/>
      <c r="W509" s="12">
        <v>508.0</v>
      </c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</row>
    <row r="510">
      <c r="S510" s="12"/>
      <c r="T510" s="12"/>
      <c r="U510" s="12"/>
      <c r="V510" s="12"/>
      <c r="W510" s="12">
        <v>509.0</v>
      </c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</row>
    <row r="511">
      <c r="S511" s="12"/>
      <c r="T511" s="12"/>
      <c r="U511" s="12"/>
      <c r="V511" s="12"/>
      <c r="W511" s="12">
        <v>510.0</v>
      </c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</row>
    <row r="512">
      <c r="S512" s="12"/>
      <c r="T512" s="12"/>
      <c r="U512" s="12"/>
      <c r="V512" s="12"/>
      <c r="W512" s="12">
        <v>511.0</v>
      </c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</row>
    <row r="513">
      <c r="S513" s="12"/>
      <c r="T513" s="12"/>
      <c r="U513" s="12"/>
      <c r="V513" s="12"/>
      <c r="W513" s="12">
        <v>512.0</v>
      </c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</row>
    <row r="514">
      <c r="S514" s="12"/>
      <c r="T514" s="12"/>
      <c r="U514" s="12"/>
      <c r="V514" s="12"/>
      <c r="W514" s="12">
        <v>513.0</v>
      </c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</row>
    <row r="515">
      <c r="S515" s="12"/>
      <c r="T515" s="12"/>
      <c r="U515" s="12"/>
      <c r="V515" s="12"/>
      <c r="W515" s="12">
        <v>514.0</v>
      </c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</row>
    <row r="516">
      <c r="S516" s="12"/>
      <c r="T516" s="12"/>
      <c r="U516" s="12"/>
      <c r="V516" s="12"/>
      <c r="W516" s="12">
        <v>515.0</v>
      </c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</row>
    <row r="517">
      <c r="S517" s="12"/>
      <c r="T517" s="12"/>
      <c r="U517" s="12"/>
      <c r="V517" s="12"/>
      <c r="W517" s="12">
        <v>516.0</v>
      </c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</row>
    <row r="518">
      <c r="S518" s="12"/>
      <c r="T518" s="12"/>
      <c r="U518" s="12"/>
      <c r="V518" s="12"/>
      <c r="W518" s="12">
        <v>517.0</v>
      </c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</row>
    <row r="519">
      <c r="S519" s="12"/>
      <c r="T519" s="12"/>
      <c r="U519" s="12"/>
      <c r="V519" s="12"/>
      <c r="W519" s="12">
        <v>518.0</v>
      </c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</row>
    <row r="520">
      <c r="S520" s="12"/>
      <c r="T520" s="12"/>
      <c r="U520" s="12"/>
      <c r="V520" s="12"/>
      <c r="W520" s="12">
        <v>519.0</v>
      </c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</row>
    <row r="521">
      <c r="S521" s="12"/>
      <c r="T521" s="12"/>
      <c r="U521" s="12"/>
      <c r="V521" s="12"/>
      <c r="W521" s="12">
        <v>520.0</v>
      </c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</row>
    <row r="522">
      <c r="S522" s="12"/>
      <c r="T522" s="12"/>
      <c r="U522" s="12"/>
      <c r="V522" s="12"/>
      <c r="W522" s="12">
        <v>521.0</v>
      </c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</row>
    <row r="523">
      <c r="S523" s="12"/>
      <c r="T523" s="12"/>
      <c r="U523" s="12"/>
      <c r="V523" s="12"/>
      <c r="W523" s="12">
        <v>522.0</v>
      </c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</row>
    <row r="524">
      <c r="S524" s="12"/>
      <c r="T524" s="12"/>
      <c r="U524" s="12"/>
      <c r="V524" s="12"/>
      <c r="W524" s="12">
        <v>523.0</v>
      </c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</row>
    <row r="525">
      <c r="S525" s="12"/>
      <c r="T525" s="12"/>
      <c r="U525" s="12"/>
      <c r="V525" s="12"/>
      <c r="W525" s="12">
        <v>524.0</v>
      </c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</row>
    <row r="526">
      <c r="S526" s="12"/>
      <c r="T526" s="12"/>
      <c r="U526" s="12"/>
      <c r="V526" s="12"/>
      <c r="W526" s="12">
        <v>525.0</v>
      </c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</row>
    <row r="527">
      <c r="S527" s="12"/>
      <c r="T527" s="12"/>
      <c r="U527" s="12"/>
      <c r="V527" s="12"/>
      <c r="W527" s="12">
        <v>526.0</v>
      </c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</row>
    <row r="528">
      <c r="S528" s="12"/>
      <c r="T528" s="12"/>
      <c r="U528" s="12"/>
      <c r="V528" s="12"/>
      <c r="W528" s="12">
        <v>527.0</v>
      </c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</row>
    <row r="529">
      <c r="S529" s="12"/>
      <c r="T529" s="12"/>
      <c r="U529" s="12"/>
      <c r="V529" s="12"/>
      <c r="W529" s="12">
        <v>528.0</v>
      </c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</row>
    <row r="530">
      <c r="S530" s="12"/>
      <c r="T530" s="12"/>
      <c r="U530" s="12"/>
      <c r="V530" s="12"/>
      <c r="W530" s="12">
        <v>529.0</v>
      </c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</row>
    <row r="531">
      <c r="S531" s="12"/>
      <c r="T531" s="12"/>
      <c r="U531" s="12"/>
      <c r="V531" s="12"/>
      <c r="W531" s="12">
        <v>530.0</v>
      </c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</row>
    <row r="532">
      <c r="S532" s="12"/>
      <c r="T532" s="12"/>
      <c r="U532" s="12"/>
      <c r="V532" s="12"/>
      <c r="W532" s="12">
        <v>531.0</v>
      </c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</row>
    <row r="533">
      <c r="S533" s="12"/>
      <c r="T533" s="12"/>
      <c r="U533" s="12"/>
      <c r="V533" s="12"/>
      <c r="W533" s="12">
        <v>532.0</v>
      </c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</row>
    <row r="534">
      <c r="S534" s="12"/>
      <c r="T534" s="12"/>
      <c r="U534" s="12"/>
      <c r="V534" s="12"/>
      <c r="W534" s="12">
        <v>533.0</v>
      </c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</row>
    <row r="535">
      <c r="S535" s="12"/>
      <c r="T535" s="12"/>
      <c r="U535" s="12"/>
      <c r="V535" s="12"/>
      <c r="W535" s="12">
        <v>534.0</v>
      </c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</row>
    <row r="536">
      <c r="S536" s="12"/>
      <c r="T536" s="12"/>
      <c r="U536" s="12"/>
      <c r="V536" s="12"/>
      <c r="W536" s="12">
        <v>535.0</v>
      </c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</row>
    <row r="537">
      <c r="S537" s="12"/>
      <c r="T537" s="12"/>
      <c r="U537" s="12"/>
      <c r="V537" s="12"/>
      <c r="W537" s="12">
        <v>536.0</v>
      </c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</row>
    <row r="538">
      <c r="S538" s="12"/>
      <c r="T538" s="12"/>
      <c r="U538" s="12"/>
      <c r="V538" s="12"/>
      <c r="W538" s="12">
        <v>537.0</v>
      </c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</row>
    <row r="539">
      <c r="S539" s="12"/>
      <c r="T539" s="12"/>
      <c r="U539" s="12"/>
      <c r="V539" s="12"/>
      <c r="W539" s="12">
        <v>538.0</v>
      </c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</row>
    <row r="540">
      <c r="S540" s="12"/>
      <c r="T540" s="12"/>
      <c r="U540" s="12"/>
      <c r="V540" s="12"/>
      <c r="W540" s="12">
        <v>539.0</v>
      </c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</row>
    <row r="541">
      <c r="S541" s="12"/>
      <c r="T541" s="12"/>
      <c r="U541" s="12"/>
      <c r="V541" s="12"/>
      <c r="W541" s="12">
        <v>540.0</v>
      </c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</row>
    <row r="542">
      <c r="S542" s="12"/>
      <c r="T542" s="12"/>
      <c r="U542" s="12"/>
      <c r="V542" s="12"/>
      <c r="W542" s="12">
        <v>541.0</v>
      </c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</row>
    <row r="543">
      <c r="S543" s="12"/>
      <c r="T543" s="12"/>
      <c r="U543" s="12"/>
      <c r="V543" s="12"/>
      <c r="W543" s="12">
        <v>542.0</v>
      </c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</row>
    <row r="544">
      <c r="S544" s="12"/>
      <c r="T544" s="12"/>
      <c r="U544" s="12"/>
      <c r="V544" s="12"/>
      <c r="W544" s="12">
        <v>543.0</v>
      </c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</row>
    <row r="545">
      <c r="S545" s="12"/>
      <c r="T545" s="12"/>
      <c r="U545" s="12"/>
      <c r="V545" s="12"/>
      <c r="W545" s="12">
        <v>544.0</v>
      </c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</row>
    <row r="546">
      <c r="S546" s="12"/>
      <c r="T546" s="12"/>
      <c r="U546" s="12"/>
      <c r="V546" s="12"/>
      <c r="W546" s="12">
        <v>545.0</v>
      </c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</row>
    <row r="547">
      <c r="S547" s="12"/>
      <c r="T547" s="12"/>
      <c r="U547" s="12"/>
      <c r="V547" s="12"/>
      <c r="W547" s="12">
        <v>546.0</v>
      </c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</row>
    <row r="548">
      <c r="S548" s="12"/>
      <c r="T548" s="12"/>
      <c r="U548" s="12"/>
      <c r="V548" s="12"/>
      <c r="W548" s="12">
        <v>547.0</v>
      </c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</row>
    <row r="549">
      <c r="S549" s="12"/>
      <c r="T549" s="12"/>
      <c r="U549" s="12"/>
      <c r="V549" s="12"/>
      <c r="W549" s="12">
        <v>548.0</v>
      </c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</row>
    <row r="550">
      <c r="S550" s="12"/>
      <c r="T550" s="12"/>
      <c r="U550" s="12"/>
      <c r="V550" s="12"/>
      <c r="W550" s="12">
        <v>549.0</v>
      </c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</row>
    <row r="551">
      <c r="S551" s="12"/>
      <c r="T551" s="12"/>
      <c r="U551" s="12"/>
      <c r="V551" s="12"/>
      <c r="W551" s="12">
        <v>550.0</v>
      </c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</row>
    <row r="552">
      <c r="S552" s="12"/>
      <c r="T552" s="12"/>
      <c r="U552" s="12"/>
      <c r="V552" s="12"/>
      <c r="W552" s="12">
        <v>551.0</v>
      </c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</row>
    <row r="553">
      <c r="S553" s="12"/>
      <c r="T553" s="12"/>
      <c r="U553" s="12"/>
      <c r="V553" s="12"/>
      <c r="W553" s="12">
        <v>552.0</v>
      </c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</row>
    <row r="554">
      <c r="S554" s="12"/>
      <c r="T554" s="12"/>
      <c r="U554" s="12"/>
      <c r="V554" s="12"/>
      <c r="W554" s="12">
        <v>553.0</v>
      </c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</row>
    <row r="555">
      <c r="S555" s="12"/>
      <c r="T555" s="12"/>
      <c r="U555" s="12"/>
      <c r="V555" s="12"/>
      <c r="W555" s="12">
        <v>554.0</v>
      </c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</row>
    <row r="556">
      <c r="S556" s="12"/>
      <c r="T556" s="12"/>
      <c r="U556" s="12"/>
      <c r="V556" s="12"/>
      <c r="W556" s="12">
        <v>555.0</v>
      </c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</row>
    <row r="557">
      <c r="S557" s="12"/>
      <c r="T557" s="12"/>
      <c r="U557" s="12"/>
      <c r="V557" s="12"/>
      <c r="W557" s="12">
        <v>556.0</v>
      </c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</row>
    <row r="558">
      <c r="S558" s="12"/>
      <c r="T558" s="12"/>
      <c r="U558" s="12"/>
      <c r="V558" s="12"/>
      <c r="W558" s="12">
        <v>557.0</v>
      </c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</row>
    <row r="559">
      <c r="S559" s="12"/>
      <c r="T559" s="12"/>
      <c r="U559" s="12"/>
      <c r="V559" s="12"/>
      <c r="W559" s="12">
        <v>558.0</v>
      </c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</row>
    <row r="560">
      <c r="S560" s="12"/>
      <c r="T560" s="12"/>
      <c r="U560" s="12"/>
      <c r="V560" s="12"/>
      <c r="W560" s="12">
        <v>559.0</v>
      </c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</row>
    <row r="561">
      <c r="S561" s="12"/>
      <c r="T561" s="12"/>
      <c r="U561" s="12"/>
      <c r="V561" s="12"/>
      <c r="W561" s="12">
        <v>560.0</v>
      </c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</row>
    <row r="562">
      <c r="S562" s="12"/>
      <c r="T562" s="12"/>
      <c r="U562" s="12"/>
      <c r="V562" s="12"/>
      <c r="W562" s="12">
        <v>561.0</v>
      </c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</row>
    <row r="563">
      <c r="S563" s="12"/>
      <c r="T563" s="12"/>
      <c r="U563" s="12"/>
      <c r="V563" s="12"/>
      <c r="W563" s="12">
        <v>562.0</v>
      </c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</row>
    <row r="564">
      <c r="S564" s="12"/>
      <c r="T564" s="12"/>
      <c r="U564" s="12"/>
      <c r="V564" s="12"/>
      <c r="W564" s="12">
        <v>563.0</v>
      </c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</row>
    <row r="565">
      <c r="S565" s="12"/>
      <c r="T565" s="12"/>
      <c r="U565" s="12"/>
      <c r="V565" s="12"/>
      <c r="W565" s="12">
        <v>564.0</v>
      </c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</row>
    <row r="566">
      <c r="S566" s="12"/>
      <c r="T566" s="12"/>
      <c r="U566" s="12"/>
      <c r="V566" s="12"/>
      <c r="W566" s="12">
        <v>565.0</v>
      </c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</row>
    <row r="567">
      <c r="S567" s="12"/>
      <c r="T567" s="12"/>
      <c r="U567" s="12"/>
      <c r="V567" s="12"/>
      <c r="W567" s="12">
        <v>566.0</v>
      </c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</row>
    <row r="568">
      <c r="S568" s="12"/>
      <c r="T568" s="12"/>
      <c r="U568" s="12"/>
      <c r="V568" s="12"/>
      <c r="W568" s="12">
        <v>567.0</v>
      </c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</row>
    <row r="569">
      <c r="S569" s="12"/>
      <c r="T569" s="12"/>
      <c r="U569" s="12"/>
      <c r="V569" s="12"/>
      <c r="W569" s="12">
        <v>568.0</v>
      </c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</row>
    <row r="570">
      <c r="S570" s="12"/>
      <c r="T570" s="12"/>
      <c r="U570" s="12"/>
      <c r="V570" s="12"/>
      <c r="W570" s="12">
        <v>569.0</v>
      </c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</row>
    <row r="571">
      <c r="S571" s="12"/>
      <c r="T571" s="12"/>
      <c r="U571" s="12"/>
      <c r="V571" s="12"/>
      <c r="W571" s="12">
        <v>570.0</v>
      </c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</row>
    <row r="572">
      <c r="S572" s="12"/>
      <c r="T572" s="12"/>
      <c r="U572" s="12"/>
      <c r="V572" s="12"/>
      <c r="W572" s="12">
        <v>571.0</v>
      </c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</row>
    <row r="573">
      <c r="S573" s="12"/>
      <c r="T573" s="12"/>
      <c r="U573" s="12"/>
      <c r="V573" s="12"/>
      <c r="W573" s="12">
        <v>572.0</v>
      </c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</row>
    <row r="574">
      <c r="S574" s="12"/>
      <c r="T574" s="12"/>
      <c r="U574" s="12"/>
      <c r="V574" s="12"/>
      <c r="W574" s="12">
        <v>573.0</v>
      </c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</row>
    <row r="575">
      <c r="S575" s="12"/>
      <c r="T575" s="12"/>
      <c r="U575" s="12"/>
      <c r="V575" s="12"/>
      <c r="W575" s="12">
        <v>574.0</v>
      </c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</row>
    <row r="576">
      <c r="S576" s="12"/>
      <c r="T576" s="12"/>
      <c r="U576" s="12"/>
      <c r="V576" s="12"/>
      <c r="W576" s="12">
        <v>575.0</v>
      </c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</row>
    <row r="577">
      <c r="S577" s="12"/>
      <c r="T577" s="12"/>
      <c r="U577" s="12"/>
      <c r="V577" s="12"/>
      <c r="W577" s="12">
        <v>576.0</v>
      </c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</row>
    <row r="578">
      <c r="S578" s="12"/>
      <c r="T578" s="12"/>
      <c r="U578" s="12"/>
      <c r="V578" s="12"/>
      <c r="W578" s="12">
        <v>577.0</v>
      </c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</row>
    <row r="579">
      <c r="S579" s="12"/>
      <c r="T579" s="12"/>
      <c r="U579" s="12"/>
      <c r="V579" s="12"/>
      <c r="W579" s="12">
        <v>578.0</v>
      </c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</row>
    <row r="580">
      <c r="S580" s="12"/>
      <c r="T580" s="12"/>
      <c r="U580" s="12"/>
      <c r="V580" s="12"/>
      <c r="W580" s="12">
        <v>579.0</v>
      </c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</row>
    <row r="581">
      <c r="S581" s="12"/>
      <c r="T581" s="12"/>
      <c r="U581" s="12"/>
      <c r="V581" s="12"/>
      <c r="W581" s="12">
        <v>580.0</v>
      </c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</row>
    <row r="582">
      <c r="S582" s="12"/>
      <c r="T582" s="12"/>
      <c r="U582" s="12"/>
      <c r="V582" s="12"/>
      <c r="W582" s="12">
        <v>581.0</v>
      </c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</row>
    <row r="583">
      <c r="S583" s="12"/>
      <c r="T583" s="12"/>
      <c r="U583" s="12"/>
      <c r="V583" s="12"/>
      <c r="W583" s="12">
        <v>582.0</v>
      </c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</row>
    <row r="584">
      <c r="S584" s="12"/>
      <c r="T584" s="12"/>
      <c r="U584" s="12"/>
      <c r="V584" s="12"/>
      <c r="W584" s="12">
        <v>583.0</v>
      </c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</row>
    <row r="585">
      <c r="S585" s="12"/>
      <c r="T585" s="12"/>
      <c r="U585" s="12"/>
      <c r="V585" s="12"/>
      <c r="W585" s="12">
        <v>584.0</v>
      </c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</row>
    <row r="586">
      <c r="S586" s="12"/>
      <c r="T586" s="12"/>
      <c r="U586" s="12"/>
      <c r="V586" s="12"/>
      <c r="W586" s="12">
        <v>585.0</v>
      </c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</row>
    <row r="587">
      <c r="S587" s="12"/>
      <c r="T587" s="12"/>
      <c r="U587" s="12"/>
      <c r="V587" s="12"/>
      <c r="W587" s="12">
        <v>586.0</v>
      </c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</row>
    <row r="588">
      <c r="S588" s="12"/>
      <c r="T588" s="12"/>
      <c r="U588" s="12"/>
      <c r="V588" s="12"/>
      <c r="W588" s="12">
        <v>587.0</v>
      </c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</row>
    <row r="589">
      <c r="S589" s="12"/>
      <c r="T589" s="12"/>
      <c r="U589" s="12"/>
      <c r="V589" s="12"/>
      <c r="W589" s="12">
        <v>588.0</v>
      </c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</row>
    <row r="590">
      <c r="S590" s="12"/>
      <c r="T590" s="12"/>
      <c r="U590" s="12"/>
      <c r="V590" s="12"/>
      <c r="W590" s="12">
        <v>589.0</v>
      </c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</row>
    <row r="591">
      <c r="S591" s="12"/>
      <c r="T591" s="12"/>
      <c r="U591" s="12"/>
      <c r="V591" s="12"/>
      <c r="W591" s="12">
        <v>590.0</v>
      </c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</row>
    <row r="592">
      <c r="S592" s="12"/>
      <c r="T592" s="12"/>
      <c r="U592" s="12"/>
      <c r="V592" s="12"/>
      <c r="W592" s="12">
        <v>591.0</v>
      </c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</row>
    <row r="593">
      <c r="S593" s="12"/>
      <c r="T593" s="12"/>
      <c r="U593" s="12"/>
      <c r="V593" s="12"/>
      <c r="W593" s="12">
        <v>592.0</v>
      </c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</row>
    <row r="594">
      <c r="S594" s="12"/>
      <c r="T594" s="12"/>
      <c r="U594" s="12"/>
      <c r="V594" s="12"/>
      <c r="W594" s="12">
        <v>593.0</v>
      </c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</row>
    <row r="595">
      <c r="S595" s="12"/>
      <c r="T595" s="12"/>
      <c r="U595" s="12"/>
      <c r="V595" s="12"/>
      <c r="W595" s="12">
        <v>594.0</v>
      </c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</row>
    <row r="596">
      <c r="S596" s="12"/>
      <c r="T596" s="12"/>
      <c r="U596" s="12"/>
      <c r="V596" s="12"/>
      <c r="W596" s="12">
        <v>595.0</v>
      </c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</row>
    <row r="597">
      <c r="S597" s="12"/>
      <c r="T597" s="12"/>
      <c r="U597" s="12"/>
      <c r="V597" s="12"/>
      <c r="W597" s="12">
        <v>596.0</v>
      </c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</row>
    <row r="598">
      <c r="S598" s="12"/>
      <c r="T598" s="12"/>
      <c r="U598" s="12"/>
      <c r="V598" s="12"/>
      <c r="W598" s="12">
        <v>597.0</v>
      </c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</row>
    <row r="599">
      <c r="S599" s="12"/>
      <c r="T599" s="12"/>
      <c r="U599" s="12"/>
      <c r="V599" s="12"/>
      <c r="W599" s="12">
        <v>598.0</v>
      </c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</row>
    <row r="600">
      <c r="S600" s="12"/>
      <c r="T600" s="12"/>
      <c r="U600" s="12"/>
      <c r="V600" s="12"/>
      <c r="W600" s="12">
        <v>599.0</v>
      </c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</row>
    <row r="601">
      <c r="S601" s="12"/>
      <c r="T601" s="12"/>
      <c r="U601" s="12"/>
      <c r="V601" s="12"/>
      <c r="W601" s="12">
        <v>600.0</v>
      </c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</row>
    <row r="602">
      <c r="S602" s="12"/>
      <c r="T602" s="12"/>
      <c r="U602" s="12"/>
      <c r="V602" s="12"/>
      <c r="W602" s="12">
        <v>601.0</v>
      </c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</row>
    <row r="603">
      <c r="S603" s="12"/>
      <c r="T603" s="12"/>
      <c r="U603" s="12"/>
      <c r="V603" s="12"/>
      <c r="W603" s="12">
        <v>602.0</v>
      </c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</row>
    <row r="604">
      <c r="S604" s="12"/>
      <c r="T604" s="12"/>
      <c r="U604" s="12"/>
      <c r="V604" s="12"/>
      <c r="W604" s="12">
        <v>603.0</v>
      </c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</row>
    <row r="605">
      <c r="S605" s="12"/>
      <c r="T605" s="12"/>
      <c r="U605" s="12"/>
      <c r="V605" s="12"/>
      <c r="W605" s="12">
        <v>604.0</v>
      </c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</row>
    <row r="606">
      <c r="S606" s="12"/>
      <c r="T606" s="12"/>
      <c r="U606" s="12"/>
      <c r="V606" s="12"/>
      <c r="W606" s="12">
        <v>605.0</v>
      </c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</row>
    <row r="607">
      <c r="S607" s="12"/>
      <c r="T607" s="12"/>
      <c r="U607" s="12"/>
      <c r="V607" s="12"/>
      <c r="W607" s="12">
        <v>606.0</v>
      </c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</row>
    <row r="608">
      <c r="S608" s="12"/>
      <c r="T608" s="12"/>
      <c r="U608" s="12"/>
      <c r="V608" s="12"/>
      <c r="W608" s="12">
        <v>607.0</v>
      </c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</row>
    <row r="609">
      <c r="S609" s="12"/>
      <c r="T609" s="12"/>
      <c r="U609" s="12"/>
      <c r="V609" s="12"/>
      <c r="W609" s="12">
        <v>608.0</v>
      </c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</row>
    <row r="610">
      <c r="S610" s="12"/>
      <c r="T610" s="12"/>
      <c r="U610" s="12"/>
      <c r="V610" s="12"/>
      <c r="W610" s="12">
        <v>609.0</v>
      </c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</row>
    <row r="611">
      <c r="S611" s="12"/>
      <c r="T611" s="12"/>
      <c r="U611" s="12"/>
      <c r="V611" s="12"/>
      <c r="W611" s="12">
        <v>610.0</v>
      </c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</row>
    <row r="612">
      <c r="S612" s="12"/>
      <c r="T612" s="12"/>
      <c r="U612" s="12"/>
      <c r="V612" s="12"/>
      <c r="W612" s="12">
        <v>611.0</v>
      </c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</row>
    <row r="613">
      <c r="S613" s="12"/>
      <c r="T613" s="12"/>
      <c r="U613" s="12"/>
      <c r="V613" s="12"/>
      <c r="W613" s="12">
        <v>612.0</v>
      </c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</row>
    <row r="614">
      <c r="S614" s="12"/>
      <c r="T614" s="12"/>
      <c r="U614" s="12"/>
      <c r="V614" s="12"/>
      <c r="W614" s="12">
        <v>613.0</v>
      </c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</row>
    <row r="615">
      <c r="S615" s="12"/>
      <c r="T615" s="12"/>
      <c r="U615" s="12"/>
      <c r="V615" s="12"/>
      <c r="W615" s="12">
        <v>614.0</v>
      </c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</row>
    <row r="616">
      <c r="S616" s="12"/>
      <c r="T616" s="12"/>
      <c r="U616" s="12"/>
      <c r="V616" s="12"/>
      <c r="W616" s="12">
        <v>615.0</v>
      </c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</row>
    <row r="617">
      <c r="S617" s="12"/>
      <c r="T617" s="12"/>
      <c r="U617" s="12"/>
      <c r="V617" s="12"/>
      <c r="W617" s="12">
        <v>616.0</v>
      </c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</row>
    <row r="618">
      <c r="S618" s="12"/>
      <c r="T618" s="12"/>
      <c r="U618" s="12"/>
      <c r="V618" s="12"/>
      <c r="W618" s="12">
        <v>617.0</v>
      </c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</row>
    <row r="619">
      <c r="S619" s="12"/>
      <c r="T619" s="12"/>
      <c r="U619" s="12"/>
      <c r="V619" s="12"/>
      <c r="W619" s="12">
        <v>618.0</v>
      </c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</row>
    <row r="620">
      <c r="S620" s="12"/>
      <c r="T620" s="12"/>
      <c r="U620" s="12"/>
      <c r="V620" s="12"/>
      <c r="W620" s="12">
        <v>619.0</v>
      </c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</row>
    <row r="621">
      <c r="S621" s="12"/>
      <c r="T621" s="12"/>
      <c r="U621" s="12"/>
      <c r="V621" s="12"/>
      <c r="W621" s="12">
        <v>620.0</v>
      </c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</row>
    <row r="622">
      <c r="S622" s="12"/>
      <c r="T622" s="12"/>
      <c r="U622" s="12"/>
      <c r="V622" s="12"/>
      <c r="W622" s="12">
        <v>621.0</v>
      </c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</row>
    <row r="623">
      <c r="S623" s="12"/>
      <c r="T623" s="12"/>
      <c r="U623" s="12"/>
      <c r="V623" s="12"/>
      <c r="W623" s="12">
        <v>622.0</v>
      </c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</row>
    <row r="624">
      <c r="S624" s="12"/>
      <c r="T624" s="12"/>
      <c r="U624" s="12"/>
      <c r="V624" s="12"/>
      <c r="W624" s="12">
        <v>623.0</v>
      </c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</row>
    <row r="625">
      <c r="S625" s="12"/>
      <c r="T625" s="12"/>
      <c r="U625" s="12"/>
      <c r="V625" s="12"/>
      <c r="W625" s="12">
        <v>624.0</v>
      </c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</row>
    <row r="626">
      <c r="S626" s="12"/>
      <c r="T626" s="12"/>
      <c r="U626" s="12"/>
      <c r="V626" s="12"/>
      <c r="W626" s="12">
        <v>625.0</v>
      </c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</row>
    <row r="627">
      <c r="S627" s="12"/>
      <c r="T627" s="12"/>
      <c r="U627" s="12"/>
      <c r="V627" s="12"/>
      <c r="W627" s="12">
        <v>626.0</v>
      </c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</row>
    <row r="628">
      <c r="S628" s="12"/>
      <c r="T628" s="12"/>
      <c r="U628" s="12"/>
      <c r="V628" s="12"/>
      <c r="W628" s="12">
        <v>627.0</v>
      </c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</row>
    <row r="629">
      <c r="S629" s="12"/>
      <c r="T629" s="12"/>
      <c r="U629" s="12"/>
      <c r="V629" s="12"/>
      <c r="W629" s="12">
        <v>628.0</v>
      </c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</row>
    <row r="630">
      <c r="S630" s="12"/>
      <c r="T630" s="12"/>
      <c r="U630" s="12"/>
      <c r="V630" s="12"/>
      <c r="W630" s="12">
        <v>629.0</v>
      </c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</row>
    <row r="631">
      <c r="S631" s="12"/>
      <c r="T631" s="12"/>
      <c r="U631" s="12"/>
      <c r="V631" s="12"/>
      <c r="W631" s="12">
        <v>630.0</v>
      </c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</row>
    <row r="632">
      <c r="S632" s="12"/>
      <c r="T632" s="12"/>
      <c r="U632" s="12"/>
      <c r="V632" s="12"/>
      <c r="W632" s="12">
        <v>631.0</v>
      </c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</row>
    <row r="633">
      <c r="S633" s="12"/>
      <c r="T633" s="12"/>
      <c r="U633" s="12"/>
      <c r="V633" s="12"/>
      <c r="W633" s="12">
        <v>632.0</v>
      </c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</row>
    <row r="634">
      <c r="S634" s="12"/>
      <c r="T634" s="12"/>
      <c r="U634" s="12"/>
      <c r="V634" s="12"/>
      <c r="W634" s="12">
        <v>633.0</v>
      </c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</row>
    <row r="635">
      <c r="S635" s="12"/>
      <c r="T635" s="12"/>
      <c r="U635" s="12"/>
      <c r="V635" s="12"/>
      <c r="W635" s="12">
        <v>634.0</v>
      </c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</row>
    <row r="636">
      <c r="S636" s="12"/>
      <c r="T636" s="12"/>
      <c r="U636" s="12"/>
      <c r="V636" s="12"/>
      <c r="W636" s="12">
        <v>635.0</v>
      </c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</row>
    <row r="637">
      <c r="S637" s="12"/>
      <c r="T637" s="12"/>
      <c r="U637" s="12"/>
      <c r="V637" s="12"/>
      <c r="W637" s="12">
        <v>636.0</v>
      </c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</row>
    <row r="638">
      <c r="S638" s="12"/>
      <c r="T638" s="12"/>
      <c r="U638" s="12"/>
      <c r="V638" s="12"/>
      <c r="W638" s="12">
        <v>637.0</v>
      </c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</row>
    <row r="639">
      <c r="S639" s="12"/>
      <c r="T639" s="12"/>
      <c r="U639" s="12"/>
      <c r="V639" s="12"/>
      <c r="W639" s="12">
        <v>638.0</v>
      </c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</row>
    <row r="640">
      <c r="S640" s="12"/>
      <c r="T640" s="12"/>
      <c r="U640" s="12"/>
      <c r="V640" s="12"/>
      <c r="W640" s="12">
        <v>639.0</v>
      </c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</row>
    <row r="641">
      <c r="S641" s="12"/>
      <c r="T641" s="12"/>
      <c r="U641" s="12"/>
      <c r="V641" s="12"/>
      <c r="W641" s="12">
        <v>640.0</v>
      </c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</row>
    <row r="642">
      <c r="S642" s="12"/>
      <c r="T642" s="12"/>
      <c r="U642" s="12"/>
      <c r="V642" s="12"/>
      <c r="W642" s="12">
        <v>641.0</v>
      </c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</row>
    <row r="643">
      <c r="S643" s="12"/>
      <c r="T643" s="12"/>
      <c r="U643" s="12"/>
      <c r="V643" s="12"/>
      <c r="W643" s="12">
        <v>642.0</v>
      </c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</row>
    <row r="644">
      <c r="S644" s="12"/>
      <c r="T644" s="12"/>
      <c r="U644" s="12"/>
      <c r="V644" s="12"/>
      <c r="W644" s="12">
        <v>643.0</v>
      </c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</row>
    <row r="645">
      <c r="S645" s="12"/>
      <c r="T645" s="12"/>
      <c r="U645" s="12"/>
      <c r="V645" s="12"/>
      <c r="W645" s="12">
        <v>644.0</v>
      </c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</row>
    <row r="646">
      <c r="S646" s="12"/>
      <c r="T646" s="12"/>
      <c r="U646" s="12"/>
      <c r="V646" s="12"/>
      <c r="W646" s="12">
        <v>645.0</v>
      </c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</row>
    <row r="647">
      <c r="S647" s="12"/>
      <c r="T647" s="12"/>
      <c r="U647" s="12"/>
      <c r="V647" s="12"/>
      <c r="W647" s="12">
        <v>646.0</v>
      </c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</row>
    <row r="648">
      <c r="S648" s="12"/>
      <c r="T648" s="12"/>
      <c r="U648" s="12"/>
      <c r="V648" s="12"/>
      <c r="W648" s="12">
        <v>647.0</v>
      </c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</row>
    <row r="649">
      <c r="S649" s="12"/>
      <c r="T649" s="12"/>
      <c r="U649" s="12"/>
      <c r="V649" s="12"/>
      <c r="W649" s="12">
        <v>648.0</v>
      </c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</row>
    <row r="650">
      <c r="S650" s="12"/>
      <c r="T650" s="12"/>
      <c r="U650" s="12"/>
      <c r="V650" s="12"/>
      <c r="W650" s="12">
        <v>649.0</v>
      </c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</row>
    <row r="651">
      <c r="S651" s="12"/>
      <c r="T651" s="12"/>
      <c r="U651" s="12"/>
      <c r="V651" s="12"/>
      <c r="W651" s="12">
        <v>650.0</v>
      </c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</row>
    <row r="652">
      <c r="S652" s="12"/>
      <c r="T652" s="12"/>
      <c r="U652" s="12"/>
      <c r="V652" s="12"/>
      <c r="W652" s="12">
        <v>651.0</v>
      </c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</row>
    <row r="653">
      <c r="S653" s="12"/>
      <c r="T653" s="12"/>
      <c r="U653" s="12"/>
      <c r="V653" s="12"/>
      <c r="W653" s="12">
        <v>652.0</v>
      </c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</row>
    <row r="654">
      <c r="S654" s="12"/>
      <c r="T654" s="12"/>
      <c r="U654" s="12"/>
      <c r="V654" s="12"/>
      <c r="W654" s="12">
        <v>653.0</v>
      </c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</row>
    <row r="655">
      <c r="S655" s="12"/>
      <c r="T655" s="12"/>
      <c r="U655" s="12"/>
      <c r="V655" s="12"/>
      <c r="W655" s="12">
        <v>654.0</v>
      </c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</row>
    <row r="656">
      <c r="S656" s="12"/>
      <c r="T656" s="12"/>
      <c r="U656" s="12"/>
      <c r="V656" s="12"/>
      <c r="W656" s="12">
        <v>655.0</v>
      </c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</row>
    <row r="657">
      <c r="S657" s="12"/>
      <c r="T657" s="12"/>
      <c r="U657" s="12"/>
      <c r="V657" s="12"/>
      <c r="W657" s="12">
        <v>656.0</v>
      </c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</row>
    <row r="658">
      <c r="S658" s="12"/>
      <c r="T658" s="12"/>
      <c r="U658" s="12"/>
      <c r="V658" s="12"/>
      <c r="W658" s="12">
        <v>657.0</v>
      </c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</row>
    <row r="659">
      <c r="S659" s="12"/>
      <c r="T659" s="12"/>
      <c r="U659" s="12"/>
      <c r="V659" s="12"/>
      <c r="W659" s="12">
        <v>658.0</v>
      </c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</row>
    <row r="660">
      <c r="S660" s="12"/>
      <c r="T660" s="12"/>
      <c r="U660" s="12"/>
      <c r="V660" s="12"/>
      <c r="W660" s="12">
        <v>659.0</v>
      </c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</row>
    <row r="661">
      <c r="S661" s="12"/>
      <c r="T661" s="12"/>
      <c r="U661" s="12"/>
      <c r="V661" s="12"/>
      <c r="W661" s="12">
        <v>660.0</v>
      </c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</row>
    <row r="662">
      <c r="S662" s="12"/>
      <c r="T662" s="12"/>
      <c r="U662" s="12"/>
      <c r="V662" s="12"/>
      <c r="W662" s="12">
        <v>661.0</v>
      </c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</row>
    <row r="663">
      <c r="S663" s="12"/>
      <c r="T663" s="12"/>
      <c r="U663" s="12"/>
      <c r="V663" s="12"/>
      <c r="W663" s="12">
        <v>662.0</v>
      </c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</row>
    <row r="664">
      <c r="S664" s="12"/>
      <c r="T664" s="12"/>
      <c r="U664" s="12"/>
      <c r="V664" s="12"/>
      <c r="W664" s="12">
        <v>663.0</v>
      </c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</row>
    <row r="665">
      <c r="S665" s="12"/>
      <c r="T665" s="12"/>
      <c r="U665" s="12"/>
      <c r="V665" s="12"/>
      <c r="W665" s="12">
        <v>664.0</v>
      </c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</row>
    <row r="666">
      <c r="S666" s="12"/>
      <c r="T666" s="12"/>
      <c r="U666" s="12"/>
      <c r="V666" s="12"/>
      <c r="W666" s="12">
        <v>665.0</v>
      </c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</row>
    <row r="667">
      <c r="S667" s="12"/>
      <c r="T667" s="12"/>
      <c r="U667" s="12"/>
      <c r="V667" s="12"/>
      <c r="W667" s="12">
        <v>666.0</v>
      </c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</row>
    <row r="668">
      <c r="S668" s="12"/>
      <c r="T668" s="12"/>
      <c r="U668" s="12"/>
      <c r="V668" s="12"/>
      <c r="W668" s="12">
        <v>667.0</v>
      </c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</row>
    <row r="669">
      <c r="S669" s="12"/>
      <c r="T669" s="12"/>
      <c r="U669" s="12"/>
      <c r="V669" s="12"/>
      <c r="W669" s="12">
        <v>668.0</v>
      </c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</row>
    <row r="670">
      <c r="S670" s="12"/>
      <c r="T670" s="12"/>
      <c r="U670" s="12"/>
      <c r="V670" s="12"/>
      <c r="W670" s="12">
        <v>669.0</v>
      </c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</row>
    <row r="671">
      <c r="S671" s="12"/>
      <c r="T671" s="12"/>
      <c r="U671" s="12"/>
      <c r="V671" s="12"/>
      <c r="W671" s="12">
        <v>670.0</v>
      </c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</row>
    <row r="672">
      <c r="S672" s="12"/>
      <c r="T672" s="12"/>
      <c r="U672" s="12"/>
      <c r="V672" s="12"/>
      <c r="W672" s="12">
        <v>671.0</v>
      </c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</row>
    <row r="673">
      <c r="S673" s="12"/>
      <c r="T673" s="12"/>
      <c r="U673" s="12"/>
      <c r="V673" s="12"/>
      <c r="W673" s="12">
        <v>672.0</v>
      </c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</row>
    <row r="674">
      <c r="S674" s="12"/>
      <c r="T674" s="12"/>
      <c r="U674" s="12"/>
      <c r="V674" s="12"/>
      <c r="W674" s="12">
        <v>673.0</v>
      </c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</row>
    <row r="675">
      <c r="S675" s="12"/>
      <c r="T675" s="12"/>
      <c r="U675" s="12"/>
      <c r="V675" s="12"/>
      <c r="W675" s="12">
        <v>674.0</v>
      </c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</row>
    <row r="676">
      <c r="S676" s="12"/>
      <c r="T676" s="12"/>
      <c r="U676" s="12"/>
      <c r="V676" s="12"/>
      <c r="W676" s="12">
        <v>675.0</v>
      </c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</row>
    <row r="677">
      <c r="S677" s="12"/>
      <c r="T677" s="12"/>
      <c r="U677" s="12"/>
      <c r="V677" s="12"/>
      <c r="W677" s="12">
        <v>676.0</v>
      </c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</row>
    <row r="678">
      <c r="S678" s="12"/>
      <c r="T678" s="12"/>
      <c r="U678" s="12"/>
      <c r="V678" s="12"/>
      <c r="W678" s="12">
        <v>677.0</v>
      </c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</row>
    <row r="679">
      <c r="S679" s="12"/>
      <c r="T679" s="12"/>
      <c r="U679" s="12"/>
      <c r="V679" s="12"/>
      <c r="W679" s="12">
        <v>678.0</v>
      </c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</row>
    <row r="680">
      <c r="S680" s="12"/>
      <c r="T680" s="12"/>
      <c r="U680" s="12"/>
      <c r="V680" s="12"/>
      <c r="W680" s="12">
        <v>679.0</v>
      </c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</row>
    <row r="681">
      <c r="S681" s="12"/>
      <c r="T681" s="12"/>
      <c r="U681" s="12"/>
      <c r="V681" s="12"/>
      <c r="W681" s="12">
        <v>680.0</v>
      </c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</row>
    <row r="682">
      <c r="S682" s="12"/>
      <c r="T682" s="12"/>
      <c r="U682" s="12"/>
      <c r="V682" s="12"/>
      <c r="W682" s="12">
        <v>681.0</v>
      </c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</row>
    <row r="683">
      <c r="S683" s="12"/>
      <c r="T683" s="12"/>
      <c r="U683" s="12"/>
      <c r="V683" s="12"/>
      <c r="W683" s="12">
        <v>682.0</v>
      </c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</row>
    <row r="684">
      <c r="S684" s="12"/>
      <c r="T684" s="12"/>
      <c r="U684" s="12"/>
      <c r="V684" s="12"/>
      <c r="W684" s="12">
        <v>683.0</v>
      </c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</row>
    <row r="685">
      <c r="S685" s="12"/>
      <c r="T685" s="12"/>
      <c r="U685" s="12"/>
      <c r="V685" s="12"/>
      <c r="W685" s="12">
        <v>684.0</v>
      </c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</row>
    <row r="686">
      <c r="S686" s="12"/>
      <c r="T686" s="12"/>
      <c r="U686" s="12"/>
      <c r="V686" s="12"/>
      <c r="W686" s="12">
        <v>685.0</v>
      </c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</row>
    <row r="687">
      <c r="S687" s="12"/>
      <c r="T687" s="12"/>
      <c r="U687" s="12"/>
      <c r="V687" s="12"/>
      <c r="W687" s="12">
        <v>686.0</v>
      </c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</row>
    <row r="688">
      <c r="S688" s="12"/>
      <c r="T688" s="12"/>
      <c r="U688" s="12"/>
      <c r="V688" s="12"/>
      <c r="W688" s="12">
        <v>687.0</v>
      </c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</row>
    <row r="689">
      <c r="S689" s="12"/>
      <c r="T689" s="12"/>
      <c r="U689" s="12"/>
      <c r="V689" s="12"/>
      <c r="W689" s="12">
        <v>688.0</v>
      </c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</row>
    <row r="690">
      <c r="S690" s="12"/>
      <c r="T690" s="12"/>
      <c r="U690" s="12"/>
      <c r="V690" s="12"/>
      <c r="W690" s="12">
        <v>689.0</v>
      </c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</row>
    <row r="691">
      <c r="S691" s="12"/>
      <c r="T691" s="12"/>
      <c r="U691" s="12"/>
      <c r="V691" s="12"/>
      <c r="W691" s="12">
        <v>690.0</v>
      </c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</row>
    <row r="692">
      <c r="S692" s="12"/>
      <c r="T692" s="12"/>
      <c r="U692" s="12"/>
      <c r="V692" s="12"/>
      <c r="W692" s="12">
        <v>691.0</v>
      </c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</row>
    <row r="693">
      <c r="S693" s="12"/>
      <c r="T693" s="12"/>
      <c r="U693" s="12"/>
      <c r="V693" s="12"/>
      <c r="W693" s="12">
        <v>692.0</v>
      </c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</row>
    <row r="694">
      <c r="S694" s="12"/>
      <c r="T694" s="12"/>
      <c r="U694" s="12"/>
      <c r="V694" s="12"/>
      <c r="W694" s="12">
        <v>693.0</v>
      </c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</row>
    <row r="695">
      <c r="S695" s="12"/>
      <c r="T695" s="12"/>
      <c r="U695" s="12"/>
      <c r="V695" s="12"/>
      <c r="W695" s="12">
        <v>694.0</v>
      </c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</row>
    <row r="696">
      <c r="S696" s="12"/>
      <c r="T696" s="12"/>
      <c r="U696" s="12"/>
      <c r="V696" s="12"/>
      <c r="W696" s="12">
        <v>695.0</v>
      </c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</row>
    <row r="697">
      <c r="S697" s="12"/>
      <c r="T697" s="12"/>
      <c r="U697" s="12"/>
      <c r="V697" s="12"/>
      <c r="W697" s="12">
        <v>696.0</v>
      </c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</row>
    <row r="698">
      <c r="S698" s="12"/>
      <c r="T698" s="12"/>
      <c r="U698" s="12"/>
      <c r="V698" s="12"/>
      <c r="W698" s="12">
        <v>697.0</v>
      </c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</row>
    <row r="699">
      <c r="S699" s="12"/>
      <c r="T699" s="12"/>
      <c r="U699" s="12"/>
      <c r="V699" s="12"/>
      <c r="W699" s="12">
        <v>698.0</v>
      </c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</row>
    <row r="700">
      <c r="S700" s="12"/>
      <c r="T700" s="12"/>
      <c r="U700" s="12"/>
      <c r="V700" s="12"/>
      <c r="W700" s="12">
        <v>699.0</v>
      </c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</row>
    <row r="701">
      <c r="S701" s="12"/>
      <c r="T701" s="12"/>
      <c r="U701" s="12"/>
      <c r="V701" s="12"/>
      <c r="W701" s="12">
        <v>700.0</v>
      </c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</row>
    <row r="702">
      <c r="S702" s="12"/>
      <c r="T702" s="12"/>
      <c r="U702" s="12"/>
      <c r="V702" s="12"/>
      <c r="W702" s="12">
        <v>701.0</v>
      </c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</row>
    <row r="703">
      <c r="S703" s="12"/>
      <c r="T703" s="12"/>
      <c r="U703" s="12"/>
      <c r="V703" s="12"/>
      <c r="W703" s="12">
        <v>702.0</v>
      </c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</row>
    <row r="704">
      <c r="S704" s="12"/>
      <c r="T704" s="12"/>
      <c r="U704" s="12"/>
      <c r="V704" s="12"/>
      <c r="W704" s="12">
        <v>703.0</v>
      </c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</row>
    <row r="705">
      <c r="S705" s="12"/>
      <c r="T705" s="12"/>
      <c r="U705" s="12"/>
      <c r="V705" s="12"/>
      <c r="W705" s="12">
        <v>704.0</v>
      </c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</row>
    <row r="706">
      <c r="S706" s="12"/>
      <c r="T706" s="12"/>
      <c r="U706" s="12"/>
      <c r="V706" s="12"/>
      <c r="W706" s="12">
        <v>705.0</v>
      </c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</row>
    <row r="707">
      <c r="S707" s="12"/>
      <c r="T707" s="12"/>
      <c r="U707" s="12"/>
      <c r="V707" s="12"/>
      <c r="W707" s="12">
        <v>706.0</v>
      </c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</row>
    <row r="708">
      <c r="S708" s="12"/>
      <c r="T708" s="12"/>
      <c r="U708" s="12"/>
      <c r="V708" s="12"/>
      <c r="W708" s="12">
        <v>707.0</v>
      </c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</row>
    <row r="709">
      <c r="S709" s="12"/>
      <c r="T709" s="12"/>
      <c r="U709" s="12"/>
      <c r="V709" s="12"/>
      <c r="W709" s="12">
        <v>708.0</v>
      </c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</row>
    <row r="710">
      <c r="S710" s="12"/>
      <c r="T710" s="12"/>
      <c r="U710" s="12"/>
      <c r="V710" s="12"/>
      <c r="W710" s="12">
        <v>709.0</v>
      </c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</row>
    <row r="711">
      <c r="S711" s="12"/>
      <c r="T711" s="12"/>
      <c r="U711" s="12"/>
      <c r="V711" s="12"/>
      <c r="W711" s="12">
        <v>710.0</v>
      </c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</row>
    <row r="712">
      <c r="S712" s="12"/>
      <c r="T712" s="12"/>
      <c r="U712" s="12"/>
      <c r="V712" s="12"/>
      <c r="W712" s="12">
        <v>711.0</v>
      </c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</row>
    <row r="713">
      <c r="S713" s="12"/>
      <c r="T713" s="12"/>
      <c r="U713" s="12"/>
      <c r="V713" s="12"/>
      <c r="W713" s="12">
        <v>712.0</v>
      </c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</row>
    <row r="714">
      <c r="S714" s="12"/>
      <c r="T714" s="12"/>
      <c r="U714" s="12"/>
      <c r="V714" s="12"/>
      <c r="W714" s="12">
        <v>713.0</v>
      </c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</row>
    <row r="715">
      <c r="S715" s="12"/>
      <c r="T715" s="12"/>
      <c r="U715" s="12"/>
      <c r="V715" s="12"/>
      <c r="W715" s="12">
        <v>714.0</v>
      </c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</row>
    <row r="716">
      <c r="S716" s="12"/>
      <c r="T716" s="12"/>
      <c r="U716" s="12"/>
      <c r="V716" s="12"/>
      <c r="W716" s="12">
        <v>715.0</v>
      </c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</row>
    <row r="717">
      <c r="S717" s="12"/>
      <c r="T717" s="12"/>
      <c r="U717" s="12"/>
      <c r="V717" s="12"/>
      <c r="W717" s="12">
        <v>716.0</v>
      </c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</row>
    <row r="718">
      <c r="S718" s="12"/>
      <c r="T718" s="12"/>
      <c r="U718" s="12"/>
      <c r="V718" s="12"/>
      <c r="W718" s="12">
        <v>717.0</v>
      </c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</row>
    <row r="719">
      <c r="S719" s="12"/>
      <c r="T719" s="12"/>
      <c r="U719" s="12"/>
      <c r="V719" s="12"/>
      <c r="W719" s="12">
        <v>718.0</v>
      </c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</row>
    <row r="720">
      <c r="S720" s="12"/>
      <c r="T720" s="12"/>
      <c r="U720" s="12"/>
      <c r="V720" s="12"/>
      <c r="W720" s="12">
        <v>719.0</v>
      </c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</row>
    <row r="721">
      <c r="S721" s="12"/>
      <c r="T721" s="12"/>
      <c r="U721" s="12"/>
      <c r="V721" s="12"/>
      <c r="W721" s="12">
        <v>720.0</v>
      </c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</row>
    <row r="722">
      <c r="S722" s="12"/>
      <c r="T722" s="12"/>
      <c r="U722" s="12"/>
      <c r="V722" s="12"/>
      <c r="W722" s="12">
        <v>721.0</v>
      </c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</row>
    <row r="723">
      <c r="S723" s="12"/>
      <c r="T723" s="12"/>
      <c r="U723" s="12"/>
      <c r="V723" s="12"/>
      <c r="W723" s="12">
        <v>722.0</v>
      </c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</row>
    <row r="724">
      <c r="S724" s="12"/>
      <c r="T724" s="12"/>
      <c r="U724" s="12"/>
      <c r="V724" s="12"/>
      <c r="W724" s="12">
        <v>723.0</v>
      </c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</row>
    <row r="725">
      <c r="S725" s="12"/>
      <c r="T725" s="12"/>
      <c r="U725" s="12"/>
      <c r="V725" s="12"/>
      <c r="W725" s="12">
        <v>724.0</v>
      </c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</row>
    <row r="726">
      <c r="S726" s="12"/>
      <c r="T726" s="12"/>
      <c r="U726" s="12"/>
      <c r="V726" s="12"/>
      <c r="W726" s="12">
        <v>725.0</v>
      </c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</row>
    <row r="727">
      <c r="S727" s="12"/>
      <c r="T727" s="12"/>
      <c r="U727" s="12"/>
      <c r="V727" s="12"/>
      <c r="W727" s="12">
        <v>726.0</v>
      </c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</row>
    <row r="728">
      <c r="S728" s="12"/>
      <c r="T728" s="12"/>
      <c r="U728" s="12"/>
      <c r="V728" s="12"/>
      <c r="W728" s="12">
        <v>727.0</v>
      </c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</row>
    <row r="729">
      <c r="S729" s="12"/>
      <c r="T729" s="12"/>
      <c r="U729" s="12"/>
      <c r="V729" s="12"/>
      <c r="W729" s="12">
        <v>728.0</v>
      </c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</row>
    <row r="730">
      <c r="S730" s="12"/>
      <c r="T730" s="12"/>
      <c r="U730" s="12"/>
      <c r="V730" s="12"/>
      <c r="W730" s="12">
        <v>729.0</v>
      </c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</row>
    <row r="731">
      <c r="S731" s="12"/>
      <c r="T731" s="12"/>
      <c r="U731" s="12"/>
      <c r="V731" s="12"/>
      <c r="W731" s="12">
        <v>730.0</v>
      </c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</row>
    <row r="732">
      <c r="S732" s="12"/>
      <c r="T732" s="12"/>
      <c r="U732" s="12"/>
      <c r="V732" s="12"/>
      <c r="W732" s="12">
        <v>731.0</v>
      </c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</row>
    <row r="733">
      <c r="S733" s="12"/>
      <c r="T733" s="12"/>
      <c r="U733" s="12"/>
      <c r="V733" s="12"/>
      <c r="W733" s="12">
        <v>732.0</v>
      </c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</row>
    <row r="734">
      <c r="S734" s="12"/>
      <c r="T734" s="12"/>
      <c r="U734" s="12"/>
      <c r="V734" s="12"/>
      <c r="W734" s="12">
        <v>733.0</v>
      </c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</row>
    <row r="735">
      <c r="S735" s="12"/>
      <c r="T735" s="12"/>
      <c r="U735" s="12"/>
      <c r="V735" s="12"/>
      <c r="W735" s="12">
        <v>734.0</v>
      </c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</row>
    <row r="736">
      <c r="S736" s="12"/>
      <c r="T736" s="12"/>
      <c r="U736" s="12"/>
      <c r="V736" s="12"/>
      <c r="W736" s="12">
        <v>735.0</v>
      </c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</row>
    <row r="737">
      <c r="S737" s="12"/>
      <c r="T737" s="12"/>
      <c r="U737" s="12"/>
      <c r="V737" s="12"/>
      <c r="W737" s="12">
        <v>736.0</v>
      </c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</row>
    <row r="738">
      <c r="S738" s="12"/>
      <c r="T738" s="12"/>
      <c r="U738" s="12"/>
      <c r="V738" s="12"/>
      <c r="W738" s="12">
        <v>737.0</v>
      </c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</row>
    <row r="739">
      <c r="S739" s="12"/>
      <c r="T739" s="12"/>
      <c r="U739" s="12"/>
      <c r="V739" s="12"/>
      <c r="W739" s="12">
        <v>738.0</v>
      </c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</row>
    <row r="740">
      <c r="S740" s="12"/>
      <c r="T740" s="12"/>
      <c r="U740" s="12"/>
      <c r="V740" s="12"/>
      <c r="W740" s="12">
        <v>739.0</v>
      </c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</row>
    <row r="741">
      <c r="S741" s="12"/>
      <c r="T741" s="12"/>
      <c r="U741" s="12"/>
      <c r="V741" s="12"/>
      <c r="W741" s="12">
        <v>740.0</v>
      </c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</row>
    <row r="742">
      <c r="S742" s="12"/>
      <c r="T742" s="12"/>
      <c r="U742" s="12"/>
      <c r="V742" s="12"/>
      <c r="W742" s="12">
        <v>741.0</v>
      </c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</row>
    <row r="743">
      <c r="S743" s="12"/>
      <c r="T743" s="12"/>
      <c r="U743" s="12"/>
      <c r="V743" s="12"/>
      <c r="W743" s="12">
        <v>742.0</v>
      </c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</row>
    <row r="744">
      <c r="S744" s="12"/>
      <c r="T744" s="12"/>
      <c r="U744" s="12"/>
      <c r="V744" s="12"/>
      <c r="W744" s="12">
        <v>743.0</v>
      </c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</row>
    <row r="745">
      <c r="S745" s="12"/>
      <c r="T745" s="12"/>
      <c r="U745" s="12"/>
      <c r="V745" s="12"/>
      <c r="W745" s="12">
        <v>744.0</v>
      </c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</row>
    <row r="746">
      <c r="S746" s="12"/>
      <c r="T746" s="12"/>
      <c r="U746" s="12"/>
      <c r="V746" s="12"/>
      <c r="W746" s="12">
        <v>745.0</v>
      </c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</row>
    <row r="747">
      <c r="S747" s="12"/>
      <c r="T747" s="12"/>
      <c r="U747" s="12"/>
      <c r="V747" s="12"/>
      <c r="W747" s="12">
        <v>746.0</v>
      </c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</row>
    <row r="748">
      <c r="S748" s="12"/>
      <c r="T748" s="12"/>
      <c r="U748" s="12"/>
      <c r="V748" s="12"/>
      <c r="W748" s="12">
        <v>747.0</v>
      </c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</row>
    <row r="749">
      <c r="S749" s="12"/>
      <c r="T749" s="12"/>
      <c r="U749" s="12"/>
      <c r="V749" s="12"/>
      <c r="W749" s="12">
        <v>748.0</v>
      </c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</row>
    <row r="750">
      <c r="S750" s="12"/>
      <c r="T750" s="12"/>
      <c r="U750" s="12"/>
      <c r="V750" s="12"/>
      <c r="W750" s="12">
        <v>749.0</v>
      </c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</row>
    <row r="751">
      <c r="S751" s="12"/>
      <c r="T751" s="12"/>
      <c r="U751" s="12"/>
      <c r="V751" s="12"/>
      <c r="W751" s="12">
        <v>750.0</v>
      </c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</row>
    <row r="752">
      <c r="S752" s="12"/>
      <c r="T752" s="12"/>
      <c r="U752" s="12"/>
      <c r="V752" s="12"/>
      <c r="W752" s="12">
        <v>751.0</v>
      </c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</row>
    <row r="753">
      <c r="S753" s="12"/>
      <c r="T753" s="12"/>
      <c r="U753" s="12"/>
      <c r="V753" s="12"/>
      <c r="W753" s="12">
        <v>752.0</v>
      </c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</row>
    <row r="754">
      <c r="S754" s="12"/>
      <c r="T754" s="12"/>
      <c r="U754" s="12"/>
      <c r="V754" s="12"/>
      <c r="W754" s="12">
        <v>753.0</v>
      </c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</row>
    <row r="755">
      <c r="S755" s="12"/>
      <c r="T755" s="12"/>
      <c r="U755" s="12"/>
      <c r="V755" s="12"/>
      <c r="W755" s="12">
        <v>754.0</v>
      </c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</row>
    <row r="756">
      <c r="S756" s="12"/>
      <c r="T756" s="12"/>
      <c r="U756" s="12"/>
      <c r="V756" s="12"/>
      <c r="W756" s="12">
        <v>755.0</v>
      </c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</row>
    <row r="757">
      <c r="S757" s="12"/>
      <c r="T757" s="12"/>
      <c r="U757" s="12"/>
      <c r="V757" s="12"/>
      <c r="W757" s="12">
        <v>756.0</v>
      </c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</row>
    <row r="758">
      <c r="S758" s="12"/>
      <c r="T758" s="12"/>
      <c r="U758" s="12"/>
      <c r="V758" s="12"/>
      <c r="W758" s="12">
        <v>757.0</v>
      </c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</row>
    <row r="759">
      <c r="S759" s="12"/>
      <c r="T759" s="12"/>
      <c r="U759" s="12"/>
      <c r="V759" s="12"/>
      <c r="W759" s="12">
        <v>758.0</v>
      </c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</row>
    <row r="760">
      <c r="S760" s="12"/>
      <c r="T760" s="12"/>
      <c r="U760" s="12"/>
      <c r="V760" s="12"/>
      <c r="W760" s="12">
        <v>759.0</v>
      </c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</row>
    <row r="761">
      <c r="S761" s="12"/>
      <c r="T761" s="12"/>
      <c r="U761" s="12"/>
      <c r="V761" s="12"/>
      <c r="W761" s="12">
        <v>760.0</v>
      </c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</row>
    <row r="762">
      <c r="S762" s="12"/>
      <c r="T762" s="12"/>
      <c r="U762" s="12"/>
      <c r="V762" s="12"/>
      <c r="W762" s="12">
        <v>761.0</v>
      </c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</row>
    <row r="763">
      <c r="S763" s="12"/>
      <c r="T763" s="12"/>
      <c r="U763" s="12"/>
      <c r="V763" s="12"/>
      <c r="W763" s="12">
        <v>762.0</v>
      </c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</row>
    <row r="764">
      <c r="S764" s="12"/>
      <c r="T764" s="12"/>
      <c r="U764" s="12"/>
      <c r="V764" s="12"/>
      <c r="W764" s="12">
        <v>763.0</v>
      </c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</row>
    <row r="765">
      <c r="S765" s="12"/>
      <c r="T765" s="12"/>
      <c r="U765" s="12"/>
      <c r="V765" s="12"/>
      <c r="W765" s="12">
        <v>764.0</v>
      </c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</row>
    <row r="766">
      <c r="S766" s="12"/>
      <c r="T766" s="12"/>
      <c r="U766" s="12"/>
      <c r="V766" s="12"/>
      <c r="W766" s="12">
        <v>765.0</v>
      </c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</row>
    <row r="767">
      <c r="S767" s="12"/>
      <c r="T767" s="12"/>
      <c r="U767" s="12"/>
      <c r="V767" s="12"/>
      <c r="W767" s="12">
        <v>766.0</v>
      </c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</row>
    <row r="768">
      <c r="S768" s="12"/>
      <c r="T768" s="12"/>
      <c r="U768" s="12"/>
      <c r="V768" s="12"/>
      <c r="W768" s="12">
        <v>767.0</v>
      </c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</row>
    <row r="769">
      <c r="S769" s="12"/>
      <c r="T769" s="12"/>
      <c r="U769" s="12"/>
      <c r="V769" s="12"/>
      <c r="W769" s="12">
        <v>768.0</v>
      </c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</row>
    <row r="770">
      <c r="S770" s="12"/>
      <c r="T770" s="12"/>
      <c r="U770" s="12"/>
      <c r="V770" s="12"/>
      <c r="W770" s="12">
        <v>769.0</v>
      </c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</row>
    <row r="771">
      <c r="S771" s="12"/>
      <c r="T771" s="12"/>
      <c r="U771" s="12"/>
      <c r="V771" s="12"/>
      <c r="W771" s="12">
        <v>770.0</v>
      </c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</row>
    <row r="772">
      <c r="S772" s="12"/>
      <c r="T772" s="12"/>
      <c r="U772" s="12"/>
      <c r="V772" s="12"/>
      <c r="W772" s="12">
        <v>771.0</v>
      </c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</row>
    <row r="773">
      <c r="S773" s="12"/>
      <c r="T773" s="12"/>
      <c r="U773" s="12"/>
      <c r="V773" s="12"/>
      <c r="W773" s="12">
        <v>772.0</v>
      </c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</row>
    <row r="774">
      <c r="S774" s="12"/>
      <c r="T774" s="12"/>
      <c r="U774" s="12"/>
      <c r="V774" s="12"/>
      <c r="W774" s="12">
        <v>773.0</v>
      </c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</row>
    <row r="775">
      <c r="S775" s="12"/>
      <c r="T775" s="12"/>
      <c r="U775" s="12"/>
      <c r="V775" s="12"/>
      <c r="W775" s="12">
        <v>774.0</v>
      </c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</row>
    <row r="776">
      <c r="S776" s="12"/>
      <c r="T776" s="12"/>
      <c r="U776" s="12"/>
      <c r="V776" s="12"/>
      <c r="W776" s="12">
        <v>775.0</v>
      </c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</row>
    <row r="777">
      <c r="S777" s="12"/>
      <c r="T777" s="12"/>
      <c r="U777" s="12"/>
      <c r="V777" s="12"/>
      <c r="W777" s="12">
        <v>776.0</v>
      </c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</row>
    <row r="778">
      <c r="S778" s="12"/>
      <c r="T778" s="12"/>
      <c r="U778" s="12"/>
      <c r="V778" s="12"/>
      <c r="W778" s="12">
        <v>777.0</v>
      </c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</row>
    <row r="779">
      <c r="S779" s="12"/>
      <c r="T779" s="12"/>
      <c r="U779" s="12"/>
      <c r="V779" s="12"/>
      <c r="W779" s="12">
        <v>778.0</v>
      </c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</row>
    <row r="780">
      <c r="S780" s="12"/>
      <c r="T780" s="12"/>
      <c r="U780" s="12"/>
      <c r="V780" s="12"/>
      <c r="W780" s="12">
        <v>779.0</v>
      </c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</row>
    <row r="781">
      <c r="S781" s="12"/>
      <c r="T781" s="12"/>
      <c r="U781" s="12"/>
      <c r="V781" s="12"/>
      <c r="W781" s="12">
        <v>780.0</v>
      </c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</row>
    <row r="782">
      <c r="S782" s="12"/>
      <c r="T782" s="12"/>
      <c r="U782" s="12"/>
      <c r="V782" s="12"/>
      <c r="W782" s="12">
        <v>781.0</v>
      </c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</row>
    <row r="783">
      <c r="S783" s="12"/>
      <c r="T783" s="12"/>
      <c r="U783" s="12"/>
      <c r="V783" s="12"/>
      <c r="W783" s="12">
        <v>782.0</v>
      </c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</row>
    <row r="784">
      <c r="S784" s="12"/>
      <c r="T784" s="12"/>
      <c r="U784" s="12"/>
      <c r="V784" s="12"/>
      <c r="W784" s="12">
        <v>783.0</v>
      </c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</row>
    <row r="785">
      <c r="S785" s="12"/>
      <c r="T785" s="12"/>
      <c r="U785" s="12"/>
      <c r="V785" s="12"/>
      <c r="W785" s="12">
        <v>784.0</v>
      </c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</row>
    <row r="786">
      <c r="S786" s="12"/>
      <c r="T786" s="12"/>
      <c r="U786" s="12"/>
      <c r="V786" s="12"/>
      <c r="W786" s="12">
        <v>785.0</v>
      </c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</row>
    <row r="787">
      <c r="S787" s="12"/>
      <c r="T787" s="12"/>
      <c r="U787" s="12"/>
      <c r="V787" s="12"/>
      <c r="W787" s="12">
        <v>786.0</v>
      </c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</row>
    <row r="788">
      <c r="S788" s="12"/>
      <c r="T788" s="12"/>
      <c r="U788" s="12"/>
      <c r="V788" s="12"/>
      <c r="W788" s="12">
        <v>787.0</v>
      </c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</row>
    <row r="789">
      <c r="S789" s="12"/>
      <c r="T789" s="12"/>
      <c r="U789" s="12"/>
      <c r="V789" s="12"/>
      <c r="W789" s="12">
        <v>788.0</v>
      </c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</row>
    <row r="790">
      <c r="S790" s="12"/>
      <c r="T790" s="12"/>
      <c r="U790" s="12"/>
      <c r="V790" s="12"/>
      <c r="W790" s="12">
        <v>789.0</v>
      </c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</row>
    <row r="791">
      <c r="S791" s="12"/>
      <c r="T791" s="12"/>
      <c r="U791" s="12"/>
      <c r="V791" s="12"/>
      <c r="W791" s="12">
        <v>790.0</v>
      </c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</row>
    <row r="792">
      <c r="S792" s="12"/>
      <c r="T792" s="12"/>
      <c r="U792" s="12"/>
      <c r="V792" s="12"/>
      <c r="W792" s="12">
        <v>791.0</v>
      </c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</row>
    <row r="793">
      <c r="S793" s="12"/>
      <c r="T793" s="12"/>
      <c r="U793" s="12"/>
      <c r="V793" s="12"/>
      <c r="W793" s="12">
        <v>792.0</v>
      </c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</row>
    <row r="794">
      <c r="S794" s="12"/>
      <c r="T794" s="12"/>
      <c r="U794" s="12"/>
      <c r="V794" s="12"/>
      <c r="W794" s="12">
        <v>793.0</v>
      </c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</row>
    <row r="795">
      <c r="S795" s="12"/>
      <c r="T795" s="12"/>
      <c r="U795" s="12"/>
      <c r="V795" s="12"/>
      <c r="W795" s="12">
        <v>794.0</v>
      </c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</row>
    <row r="796">
      <c r="S796" s="12"/>
      <c r="T796" s="12"/>
      <c r="U796" s="12"/>
      <c r="V796" s="12"/>
      <c r="W796" s="12">
        <v>795.0</v>
      </c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</row>
    <row r="797">
      <c r="S797" s="12"/>
      <c r="T797" s="12"/>
      <c r="U797" s="12"/>
      <c r="V797" s="12"/>
      <c r="W797" s="12">
        <v>796.0</v>
      </c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</row>
    <row r="798">
      <c r="S798" s="12"/>
      <c r="T798" s="12"/>
      <c r="U798" s="12"/>
      <c r="V798" s="12"/>
      <c r="W798" s="12">
        <v>797.0</v>
      </c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</row>
    <row r="799">
      <c r="S799" s="12"/>
      <c r="T799" s="12"/>
      <c r="U799" s="12"/>
      <c r="V799" s="12"/>
      <c r="W799" s="12">
        <v>798.0</v>
      </c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</row>
    <row r="800">
      <c r="S800" s="12"/>
      <c r="T800" s="12"/>
      <c r="U800" s="12"/>
      <c r="V800" s="12"/>
      <c r="W800" s="12">
        <v>799.0</v>
      </c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</row>
    <row r="801">
      <c r="S801" s="12"/>
      <c r="T801" s="12"/>
      <c r="U801" s="12"/>
      <c r="V801" s="12"/>
      <c r="W801" s="12">
        <v>800.0</v>
      </c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</row>
    <row r="802">
      <c r="S802" s="12"/>
      <c r="T802" s="12"/>
      <c r="U802" s="12"/>
      <c r="V802" s="12"/>
      <c r="W802" s="12">
        <v>801.0</v>
      </c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</row>
    <row r="803">
      <c r="S803" s="12"/>
      <c r="T803" s="12"/>
      <c r="U803" s="12"/>
      <c r="V803" s="12"/>
      <c r="W803" s="12">
        <v>802.0</v>
      </c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</row>
    <row r="804">
      <c r="S804" s="12"/>
      <c r="T804" s="12"/>
      <c r="U804" s="12"/>
      <c r="V804" s="12"/>
      <c r="W804" s="12">
        <v>803.0</v>
      </c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</row>
    <row r="805">
      <c r="S805" s="12"/>
      <c r="T805" s="12"/>
      <c r="U805" s="12"/>
      <c r="V805" s="12"/>
      <c r="W805" s="12">
        <v>804.0</v>
      </c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</row>
    <row r="806">
      <c r="S806" s="12"/>
      <c r="T806" s="12"/>
      <c r="U806" s="12"/>
      <c r="V806" s="12"/>
      <c r="W806" s="12">
        <v>805.0</v>
      </c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</row>
    <row r="807">
      <c r="S807" s="12"/>
      <c r="T807" s="12"/>
      <c r="U807" s="12"/>
      <c r="V807" s="12"/>
      <c r="W807" s="12">
        <v>806.0</v>
      </c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</row>
    <row r="808">
      <c r="S808" s="12"/>
      <c r="T808" s="12"/>
      <c r="U808" s="12"/>
      <c r="V808" s="12"/>
      <c r="W808" s="12">
        <v>807.0</v>
      </c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</row>
    <row r="809">
      <c r="S809" s="12"/>
      <c r="T809" s="12"/>
      <c r="U809" s="12"/>
      <c r="V809" s="12"/>
      <c r="W809" s="12">
        <v>808.0</v>
      </c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</row>
    <row r="810">
      <c r="S810" s="12"/>
      <c r="T810" s="12"/>
      <c r="U810" s="12"/>
      <c r="V810" s="12"/>
      <c r="W810" s="12">
        <v>809.0</v>
      </c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</row>
    <row r="811">
      <c r="S811" s="12"/>
      <c r="T811" s="12"/>
      <c r="U811" s="12"/>
      <c r="V811" s="12"/>
      <c r="W811" s="12">
        <v>810.0</v>
      </c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</row>
    <row r="812">
      <c r="S812" s="12"/>
      <c r="T812" s="12"/>
      <c r="U812" s="12"/>
      <c r="V812" s="12"/>
      <c r="W812" s="12">
        <v>811.0</v>
      </c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</row>
    <row r="813">
      <c r="S813" s="12"/>
      <c r="T813" s="12"/>
      <c r="U813" s="12"/>
      <c r="V813" s="12"/>
      <c r="W813" s="12">
        <v>812.0</v>
      </c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</row>
    <row r="814">
      <c r="S814" s="12"/>
      <c r="T814" s="12"/>
      <c r="U814" s="12"/>
      <c r="V814" s="12"/>
      <c r="W814" s="12">
        <v>813.0</v>
      </c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</row>
    <row r="815">
      <c r="S815" s="12"/>
      <c r="T815" s="12"/>
      <c r="U815" s="12"/>
      <c r="V815" s="12"/>
      <c r="W815" s="12">
        <v>814.0</v>
      </c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</row>
    <row r="816">
      <c r="S816" s="12"/>
      <c r="T816" s="12"/>
      <c r="U816" s="12"/>
      <c r="V816" s="12"/>
      <c r="W816" s="12">
        <v>815.0</v>
      </c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</row>
    <row r="817">
      <c r="S817" s="12"/>
      <c r="T817" s="12"/>
      <c r="U817" s="12"/>
      <c r="V817" s="12"/>
      <c r="W817" s="12">
        <v>816.0</v>
      </c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</row>
    <row r="818">
      <c r="S818" s="12"/>
      <c r="T818" s="12"/>
      <c r="U818" s="12"/>
      <c r="V818" s="12"/>
      <c r="W818" s="12">
        <v>817.0</v>
      </c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</row>
    <row r="819">
      <c r="S819" s="12"/>
      <c r="T819" s="12"/>
      <c r="U819" s="12"/>
      <c r="V819" s="12"/>
      <c r="W819" s="12">
        <v>818.0</v>
      </c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</row>
    <row r="820">
      <c r="S820" s="12"/>
      <c r="T820" s="12"/>
      <c r="U820" s="12"/>
      <c r="V820" s="12"/>
      <c r="W820" s="12">
        <v>819.0</v>
      </c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</row>
    <row r="821">
      <c r="S821" s="12"/>
      <c r="T821" s="12"/>
      <c r="U821" s="12"/>
      <c r="V821" s="12"/>
      <c r="W821" s="12">
        <v>820.0</v>
      </c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</row>
    <row r="822">
      <c r="S822" s="12"/>
      <c r="T822" s="12"/>
      <c r="U822" s="12"/>
      <c r="V822" s="12"/>
      <c r="W822" s="12">
        <v>821.0</v>
      </c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</row>
    <row r="823">
      <c r="S823" s="12"/>
      <c r="T823" s="12"/>
      <c r="U823" s="12"/>
      <c r="V823" s="12"/>
      <c r="W823" s="12">
        <v>822.0</v>
      </c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</row>
    <row r="824">
      <c r="S824" s="12"/>
      <c r="T824" s="12"/>
      <c r="U824" s="12"/>
      <c r="V824" s="12"/>
      <c r="W824" s="12">
        <v>823.0</v>
      </c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</row>
    <row r="825">
      <c r="S825" s="12"/>
      <c r="T825" s="12"/>
      <c r="U825" s="12"/>
      <c r="V825" s="12"/>
      <c r="W825" s="12">
        <v>824.0</v>
      </c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</row>
    <row r="826">
      <c r="S826" s="12"/>
      <c r="T826" s="12"/>
      <c r="U826" s="12"/>
      <c r="V826" s="12"/>
      <c r="W826" s="12">
        <v>825.0</v>
      </c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</row>
    <row r="827">
      <c r="S827" s="12"/>
      <c r="T827" s="12"/>
      <c r="U827" s="12"/>
      <c r="V827" s="12"/>
      <c r="W827" s="12">
        <v>826.0</v>
      </c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</row>
    <row r="828">
      <c r="S828" s="12"/>
      <c r="T828" s="12"/>
      <c r="U828" s="12"/>
      <c r="V828" s="12"/>
      <c r="W828" s="12">
        <v>827.0</v>
      </c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</row>
    <row r="829">
      <c r="S829" s="12"/>
      <c r="T829" s="12"/>
      <c r="U829" s="12"/>
      <c r="V829" s="12"/>
      <c r="W829" s="12">
        <v>828.0</v>
      </c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</row>
    <row r="830">
      <c r="S830" s="12"/>
      <c r="T830" s="12"/>
      <c r="U830" s="12"/>
      <c r="V830" s="12"/>
      <c r="W830" s="12">
        <v>829.0</v>
      </c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</row>
    <row r="831">
      <c r="S831" s="12"/>
      <c r="T831" s="12"/>
      <c r="U831" s="12"/>
      <c r="V831" s="12"/>
      <c r="W831" s="12">
        <v>830.0</v>
      </c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</row>
    <row r="832">
      <c r="S832" s="12"/>
      <c r="T832" s="12"/>
      <c r="U832" s="12"/>
      <c r="V832" s="12"/>
      <c r="W832" s="12">
        <v>831.0</v>
      </c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</row>
    <row r="833">
      <c r="S833" s="12"/>
      <c r="T833" s="12"/>
      <c r="U833" s="12"/>
      <c r="V833" s="12"/>
      <c r="W833" s="12">
        <v>832.0</v>
      </c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</row>
    <row r="834">
      <c r="S834" s="12"/>
      <c r="T834" s="12"/>
      <c r="U834" s="12"/>
      <c r="V834" s="12"/>
      <c r="W834" s="12">
        <v>833.0</v>
      </c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</row>
    <row r="835">
      <c r="S835" s="12"/>
      <c r="T835" s="12"/>
      <c r="U835" s="12"/>
      <c r="V835" s="12"/>
      <c r="W835" s="12">
        <v>834.0</v>
      </c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</row>
    <row r="836">
      <c r="S836" s="12"/>
      <c r="T836" s="12"/>
      <c r="U836" s="12"/>
      <c r="V836" s="12"/>
      <c r="W836" s="12">
        <v>835.0</v>
      </c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</row>
    <row r="837">
      <c r="S837" s="12"/>
      <c r="T837" s="12"/>
      <c r="U837" s="12"/>
      <c r="V837" s="12"/>
      <c r="W837" s="12">
        <v>836.0</v>
      </c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</row>
    <row r="838">
      <c r="S838" s="12"/>
      <c r="T838" s="12"/>
      <c r="U838" s="12"/>
      <c r="V838" s="12"/>
      <c r="W838" s="12">
        <v>837.0</v>
      </c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</row>
    <row r="839">
      <c r="S839" s="12"/>
      <c r="T839" s="12"/>
      <c r="U839" s="12"/>
      <c r="V839" s="12"/>
      <c r="W839" s="12">
        <v>838.0</v>
      </c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</row>
    <row r="840">
      <c r="S840" s="12"/>
      <c r="T840" s="12"/>
      <c r="U840" s="12"/>
      <c r="V840" s="12"/>
      <c r="W840" s="12">
        <v>839.0</v>
      </c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</row>
    <row r="841">
      <c r="S841" s="12"/>
      <c r="T841" s="12"/>
      <c r="U841" s="12"/>
      <c r="V841" s="12"/>
      <c r="W841" s="12">
        <v>840.0</v>
      </c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</row>
    <row r="842">
      <c r="S842" s="12"/>
      <c r="T842" s="12"/>
      <c r="U842" s="12"/>
      <c r="V842" s="12"/>
      <c r="W842" s="12">
        <v>841.0</v>
      </c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</row>
    <row r="843">
      <c r="S843" s="12"/>
      <c r="T843" s="12"/>
      <c r="U843" s="12"/>
      <c r="V843" s="12"/>
      <c r="W843" s="12">
        <v>842.0</v>
      </c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</row>
    <row r="844">
      <c r="S844" s="12"/>
      <c r="T844" s="12"/>
      <c r="U844" s="12"/>
      <c r="V844" s="12"/>
      <c r="W844" s="12">
        <v>843.0</v>
      </c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</row>
    <row r="845">
      <c r="S845" s="12"/>
      <c r="T845" s="12"/>
      <c r="U845" s="12"/>
      <c r="V845" s="12"/>
      <c r="W845" s="12">
        <v>844.0</v>
      </c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</row>
    <row r="846">
      <c r="S846" s="12"/>
      <c r="T846" s="12"/>
      <c r="U846" s="12"/>
      <c r="V846" s="12"/>
      <c r="W846" s="12">
        <v>845.0</v>
      </c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</row>
    <row r="847">
      <c r="S847" s="12"/>
      <c r="T847" s="12"/>
      <c r="U847" s="12"/>
      <c r="V847" s="12"/>
      <c r="W847" s="12">
        <v>846.0</v>
      </c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</row>
    <row r="848">
      <c r="S848" s="12"/>
      <c r="T848" s="12"/>
      <c r="U848" s="12"/>
      <c r="V848" s="12"/>
      <c r="W848" s="12">
        <v>847.0</v>
      </c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</row>
    <row r="849">
      <c r="S849" s="12"/>
      <c r="T849" s="12"/>
      <c r="U849" s="12"/>
      <c r="V849" s="12"/>
      <c r="W849" s="12">
        <v>848.0</v>
      </c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</row>
    <row r="850">
      <c r="S850" s="12"/>
      <c r="T850" s="12"/>
      <c r="U850" s="12"/>
      <c r="V850" s="12"/>
      <c r="W850" s="12">
        <v>849.0</v>
      </c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</row>
    <row r="851">
      <c r="S851" s="12"/>
      <c r="T851" s="12"/>
      <c r="U851" s="12"/>
      <c r="V851" s="12"/>
      <c r="W851" s="12">
        <v>850.0</v>
      </c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</row>
    <row r="852">
      <c r="S852" s="12"/>
      <c r="T852" s="12"/>
      <c r="U852" s="12"/>
      <c r="V852" s="12"/>
      <c r="W852" s="12">
        <v>851.0</v>
      </c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</row>
    <row r="853">
      <c r="S853" s="12"/>
      <c r="T853" s="12"/>
      <c r="U853" s="12"/>
      <c r="V853" s="12"/>
      <c r="W853" s="12">
        <v>852.0</v>
      </c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</row>
    <row r="854">
      <c r="S854" s="12"/>
      <c r="T854" s="12"/>
      <c r="U854" s="12"/>
      <c r="V854" s="12"/>
      <c r="W854" s="12">
        <v>853.0</v>
      </c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</row>
    <row r="855">
      <c r="S855" s="12"/>
      <c r="T855" s="12"/>
      <c r="U855" s="12"/>
      <c r="V855" s="12"/>
      <c r="W855" s="12">
        <v>854.0</v>
      </c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</row>
    <row r="856">
      <c r="S856" s="12"/>
      <c r="T856" s="12"/>
      <c r="U856" s="12"/>
      <c r="V856" s="12"/>
      <c r="W856" s="12">
        <v>855.0</v>
      </c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</row>
    <row r="857">
      <c r="S857" s="12"/>
      <c r="T857" s="12"/>
      <c r="U857" s="12"/>
      <c r="V857" s="12"/>
      <c r="W857" s="12">
        <v>856.0</v>
      </c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</row>
    <row r="858">
      <c r="S858" s="12"/>
      <c r="T858" s="12"/>
      <c r="U858" s="12"/>
      <c r="V858" s="12"/>
      <c r="W858" s="12">
        <v>857.0</v>
      </c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</row>
    <row r="859">
      <c r="S859" s="12"/>
      <c r="T859" s="12"/>
      <c r="U859" s="12"/>
      <c r="V859" s="12"/>
      <c r="W859" s="12">
        <v>858.0</v>
      </c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</row>
    <row r="860">
      <c r="S860" s="12"/>
      <c r="T860" s="12"/>
      <c r="U860" s="12"/>
      <c r="V860" s="12"/>
      <c r="W860" s="12">
        <v>859.0</v>
      </c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</row>
    <row r="861">
      <c r="S861" s="12"/>
      <c r="T861" s="12"/>
      <c r="U861" s="12"/>
      <c r="V861" s="12"/>
      <c r="W861" s="12">
        <v>860.0</v>
      </c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</row>
    <row r="862">
      <c r="S862" s="12"/>
      <c r="T862" s="12"/>
      <c r="U862" s="12"/>
      <c r="V862" s="12"/>
      <c r="W862" s="12">
        <v>861.0</v>
      </c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</row>
    <row r="863">
      <c r="S863" s="12"/>
      <c r="T863" s="12"/>
      <c r="U863" s="12"/>
      <c r="V863" s="12"/>
      <c r="W863" s="12">
        <v>862.0</v>
      </c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</row>
    <row r="864">
      <c r="S864" s="12"/>
      <c r="T864" s="12"/>
      <c r="U864" s="12"/>
      <c r="V864" s="12"/>
      <c r="W864" s="12">
        <v>863.0</v>
      </c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</row>
    <row r="865">
      <c r="S865" s="12"/>
      <c r="T865" s="12"/>
      <c r="U865" s="12"/>
      <c r="V865" s="12"/>
      <c r="W865" s="12">
        <v>864.0</v>
      </c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</row>
    <row r="866"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</row>
    <row r="867"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</row>
    <row r="868"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</row>
    <row r="869"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</row>
    <row r="870"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</row>
    <row r="871"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</row>
    <row r="872"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</row>
    <row r="873"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</row>
    <row r="874"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</row>
    <row r="875"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</row>
    <row r="876"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</row>
    <row r="877"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</row>
    <row r="878"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</row>
    <row r="879"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</row>
    <row r="880"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</row>
    <row r="881"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</row>
    <row r="882"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</row>
    <row r="883"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</row>
    <row r="884"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</row>
    <row r="885"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</row>
    <row r="886"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</row>
    <row r="887"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</row>
    <row r="888"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</row>
    <row r="889"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</row>
    <row r="890"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</row>
    <row r="891"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</row>
    <row r="892"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</row>
    <row r="893"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</row>
    <row r="894"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</row>
    <row r="895"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</row>
    <row r="896"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</row>
    <row r="897"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</row>
    <row r="898"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</row>
    <row r="899"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</row>
    <row r="900"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</row>
    <row r="901"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</row>
    <row r="902"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</row>
    <row r="903"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</row>
    <row r="904"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</row>
    <row r="905"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</row>
    <row r="906"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</row>
    <row r="907"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</row>
    <row r="908"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</row>
    <row r="909"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</row>
    <row r="910"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</row>
    <row r="911"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</row>
    <row r="912"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</row>
    <row r="913"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</row>
    <row r="914"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</row>
    <row r="915"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</row>
    <row r="916"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</row>
    <row r="917"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</row>
    <row r="918"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</row>
    <row r="919"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</row>
    <row r="920"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</row>
    <row r="921"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</row>
    <row r="922"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</row>
    <row r="923"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</row>
    <row r="924"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</row>
    <row r="925"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</row>
    <row r="926"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</row>
    <row r="927"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</row>
    <row r="928"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</row>
    <row r="929"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</row>
    <row r="930"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</row>
    <row r="931"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</row>
    <row r="932"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</row>
    <row r="933"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</row>
    <row r="934"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</row>
    <row r="935"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</row>
    <row r="936"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</row>
    <row r="937"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</row>
    <row r="938"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</row>
    <row r="939"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</row>
    <row r="940"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</row>
    <row r="941"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</row>
    <row r="942"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</row>
    <row r="943"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</row>
    <row r="944"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</row>
    <row r="945"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</row>
    <row r="946"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</row>
    <row r="947"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</row>
    <row r="948"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</row>
    <row r="949"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</row>
    <row r="950"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</row>
    <row r="951"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</row>
    <row r="952"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</row>
    <row r="953"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</row>
    <row r="954"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</row>
    <row r="955"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</row>
    <row r="956"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</row>
    <row r="957"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</row>
    <row r="958"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</row>
    <row r="959"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</row>
    <row r="960"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</row>
    <row r="961"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</row>
    <row r="962"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</row>
    <row r="963"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</row>
    <row r="964"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</row>
    <row r="965"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</row>
    <row r="966"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</row>
    <row r="967"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</row>
    <row r="968"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</row>
    <row r="969"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</row>
    <row r="970"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</row>
    <row r="971"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</row>
    <row r="972"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</row>
    <row r="973"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</row>
    <row r="974"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</row>
    <row r="975"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</row>
    <row r="976"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</row>
    <row r="977"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</row>
    <row r="978"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</row>
    <row r="979"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</row>
    <row r="980"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</row>
    <row r="981"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</row>
    <row r="982"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</row>
    <row r="983"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</row>
    <row r="984"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</row>
    <row r="985"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</row>
    <row r="986"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</row>
    <row r="987"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</row>
    <row r="988"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</row>
    <row r="989"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</row>
    <row r="990"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</row>
    <row r="991"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</row>
    <row r="992"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</row>
    <row r="993"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</row>
    <row r="994"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</row>
    <row r="995"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</row>
    <row r="996"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</row>
    <row r="997"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</row>
    <row r="998"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</row>
    <row r="999"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</row>
    <row r="1000"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</row>
    <row r="1001"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</row>
    <row r="1002"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</row>
    <row r="1003"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</row>
    <row r="1004"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</row>
    <row r="1005"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</row>
    <row r="1006"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</row>
    <row r="1007"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</row>
    <row r="1008"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</row>
    <row r="1009"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</row>
    <row r="1010"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</row>
    <row r="1011"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</row>
    <row r="1012"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</row>
    <row r="1013"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</row>
    <row r="1014"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</row>
    <row r="1015"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</row>
    <row r="1016"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</row>
    <row r="1017"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</row>
    <row r="1018"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  <c r="AM1018" s="12"/>
      <c r="AN1018" s="12"/>
      <c r="AO1018" s="12"/>
      <c r="AP1018" s="12"/>
      <c r="AQ1018" s="12"/>
      <c r="AR1018" s="12"/>
      <c r="AS1018" s="12"/>
      <c r="AT1018" s="12"/>
      <c r="AU1018" s="12"/>
      <c r="AV1018" s="12"/>
    </row>
    <row r="1019"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  <c r="AM1019" s="12"/>
      <c r="AN1019" s="12"/>
      <c r="AO1019" s="12"/>
      <c r="AP1019" s="12"/>
      <c r="AQ1019" s="12"/>
      <c r="AR1019" s="12"/>
      <c r="AS1019" s="12"/>
      <c r="AT1019" s="12"/>
      <c r="AU1019" s="12"/>
      <c r="AV1019" s="12"/>
    </row>
    <row r="1020"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  <c r="AM1020" s="12"/>
      <c r="AN1020" s="12"/>
      <c r="AO1020" s="12"/>
      <c r="AP1020" s="12"/>
      <c r="AQ1020" s="12"/>
      <c r="AR1020" s="12"/>
      <c r="AS1020" s="12"/>
      <c r="AT1020" s="12"/>
      <c r="AU1020" s="12"/>
      <c r="AV1020" s="12"/>
    </row>
    <row r="1021"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  <c r="AM1021" s="12"/>
      <c r="AN1021" s="12"/>
      <c r="AO1021" s="12"/>
      <c r="AP1021" s="12"/>
      <c r="AQ1021" s="12"/>
      <c r="AR1021" s="12"/>
      <c r="AS1021" s="12"/>
      <c r="AT1021" s="12"/>
      <c r="AU1021" s="12"/>
      <c r="AV1021" s="12"/>
    </row>
    <row r="1022"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  <c r="AM1022" s="12"/>
      <c r="AN1022" s="12"/>
      <c r="AO1022" s="12"/>
      <c r="AP1022" s="12"/>
      <c r="AQ1022" s="12"/>
      <c r="AR1022" s="12"/>
      <c r="AS1022" s="12"/>
      <c r="AT1022" s="12"/>
      <c r="AU1022" s="12"/>
      <c r="AV1022" s="12"/>
    </row>
    <row r="1023"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  <c r="AM1023" s="12"/>
      <c r="AN1023" s="12"/>
      <c r="AO1023" s="12"/>
      <c r="AP1023" s="12"/>
      <c r="AQ1023" s="12"/>
      <c r="AR1023" s="12"/>
      <c r="AS1023" s="12"/>
      <c r="AT1023" s="12"/>
      <c r="AU1023" s="12"/>
      <c r="AV1023" s="12"/>
    </row>
    <row r="1024"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  <c r="AM1024" s="12"/>
      <c r="AN1024" s="12"/>
      <c r="AO1024" s="12"/>
      <c r="AP1024" s="12"/>
      <c r="AQ1024" s="12"/>
      <c r="AR1024" s="12"/>
      <c r="AS1024" s="12"/>
      <c r="AT1024" s="12"/>
      <c r="AU1024" s="12"/>
      <c r="AV1024" s="12"/>
    </row>
    <row r="1025"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  <c r="AM1025" s="12"/>
      <c r="AN1025" s="12"/>
      <c r="AO1025" s="12"/>
      <c r="AP1025" s="12"/>
      <c r="AQ1025" s="12"/>
      <c r="AR1025" s="12"/>
      <c r="AS1025" s="12"/>
      <c r="AT1025" s="12"/>
      <c r="AU1025" s="12"/>
      <c r="AV1025" s="12"/>
    </row>
    <row r="1026"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  <c r="AO1026" s="12"/>
      <c r="AP1026" s="12"/>
      <c r="AQ1026" s="12"/>
      <c r="AR1026" s="12"/>
      <c r="AS1026" s="12"/>
      <c r="AT1026" s="12"/>
      <c r="AU1026" s="12"/>
      <c r="AV1026" s="12"/>
    </row>
    <row r="1027"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</row>
    <row r="1028"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  <c r="AM1028" s="12"/>
      <c r="AN1028" s="12"/>
      <c r="AO1028" s="12"/>
      <c r="AP1028" s="12"/>
      <c r="AQ1028" s="12"/>
      <c r="AR1028" s="12"/>
      <c r="AS1028" s="12"/>
      <c r="AT1028" s="12"/>
      <c r="AU1028" s="12"/>
      <c r="AV1028" s="12"/>
    </row>
    <row r="1029"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  <c r="AM1029" s="12"/>
      <c r="AN1029" s="12"/>
      <c r="AO1029" s="12"/>
      <c r="AP1029" s="12"/>
      <c r="AQ1029" s="12"/>
      <c r="AR1029" s="12"/>
      <c r="AS1029" s="12"/>
      <c r="AT1029" s="12"/>
      <c r="AU1029" s="12"/>
      <c r="AV1029" s="12"/>
    </row>
    <row r="1030"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  <c r="AM1030" s="12"/>
      <c r="AN1030" s="12"/>
      <c r="AO1030" s="12"/>
      <c r="AP1030" s="12"/>
      <c r="AQ1030" s="12"/>
      <c r="AR1030" s="12"/>
      <c r="AS1030" s="12"/>
      <c r="AT1030" s="12"/>
      <c r="AU1030" s="12"/>
      <c r="AV1030" s="12"/>
    </row>
    <row r="1031"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</row>
    <row r="1032"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</row>
    <row r="1033"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</row>
    <row r="1034"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</row>
    <row r="1035"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</row>
    <row r="1036"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  <c r="AM1036" s="12"/>
      <c r="AN1036" s="12"/>
      <c r="AO1036" s="12"/>
      <c r="AP1036" s="12"/>
      <c r="AQ1036" s="12"/>
      <c r="AR1036" s="12"/>
      <c r="AS1036" s="12"/>
      <c r="AT1036" s="12"/>
      <c r="AU1036" s="12"/>
      <c r="AV1036" s="12"/>
    </row>
    <row r="1037"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  <c r="AM1037" s="12"/>
      <c r="AN1037" s="12"/>
      <c r="AO1037" s="12"/>
      <c r="AP1037" s="12"/>
      <c r="AQ1037" s="12"/>
      <c r="AR1037" s="12"/>
      <c r="AS1037" s="12"/>
      <c r="AT1037" s="12"/>
      <c r="AU1037" s="12"/>
      <c r="AV1037" s="12"/>
    </row>
    <row r="1038"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  <c r="AM1038" s="12"/>
      <c r="AN1038" s="12"/>
      <c r="AO1038" s="12"/>
      <c r="AP1038" s="12"/>
      <c r="AQ1038" s="12"/>
      <c r="AR1038" s="12"/>
      <c r="AS1038" s="12"/>
      <c r="AT1038" s="12"/>
      <c r="AU1038" s="12"/>
      <c r="AV1038" s="12"/>
    </row>
    <row r="1039"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</row>
    <row r="1040"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</row>
    <row r="1041"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</row>
    <row r="1042"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</row>
    <row r="1043"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</row>
    <row r="1044"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</row>
    <row r="1045"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</row>
    <row r="1046"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</row>
    <row r="1047"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</row>
    <row r="1048"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</row>
    <row r="1049"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</row>
    <row r="1050"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</row>
    <row r="1051"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</row>
    <row r="1052"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</row>
    <row r="1053"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</row>
    <row r="1054"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</row>
    <row r="1055"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</row>
    <row r="1056"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</row>
    <row r="1057"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</row>
    <row r="1058"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</row>
    <row r="1059"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</row>
    <row r="1060"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</row>
    <row r="1061"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</row>
    <row r="1062"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</row>
    <row r="1063"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</row>
    <row r="1064"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</row>
    <row r="1065"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</row>
    <row r="1066"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</row>
    <row r="1067"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</row>
    <row r="1068"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</row>
    <row r="1069"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</row>
    <row r="1070"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</row>
    <row r="1071"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</row>
    <row r="1072"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</row>
    <row r="1073"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</row>
    <row r="1074"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</row>
    <row r="1075"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  <c r="AM1075" s="12"/>
      <c r="AN1075" s="12"/>
      <c r="AO1075" s="12"/>
      <c r="AP1075" s="12"/>
      <c r="AQ1075" s="12"/>
      <c r="AR1075" s="12"/>
      <c r="AS1075" s="12"/>
      <c r="AT1075" s="12"/>
      <c r="AU1075" s="12"/>
      <c r="AV1075" s="12"/>
    </row>
    <row r="1076"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  <c r="AM1076" s="12"/>
      <c r="AN1076" s="12"/>
      <c r="AO1076" s="12"/>
      <c r="AP1076" s="12"/>
      <c r="AQ1076" s="12"/>
      <c r="AR1076" s="12"/>
      <c r="AS1076" s="12"/>
      <c r="AT1076" s="12"/>
      <c r="AU1076" s="12"/>
      <c r="AV1076" s="12"/>
    </row>
    <row r="1077"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</row>
    <row r="1078"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</row>
    <row r="1079"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</row>
    <row r="1080">
      <c r="S1080" s="12"/>
      <c r="T1080" s="12"/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  <c r="AM1080" s="12"/>
      <c r="AN1080" s="12"/>
      <c r="AO1080" s="12"/>
      <c r="AP1080" s="12"/>
      <c r="AQ1080" s="12"/>
      <c r="AR1080" s="12"/>
      <c r="AS1080" s="12"/>
      <c r="AT1080" s="12"/>
      <c r="AU1080" s="12"/>
      <c r="AV1080" s="12"/>
    </row>
    <row r="1081">
      <c r="S1081" s="12"/>
      <c r="T1081" s="12"/>
      <c r="U1081" s="12"/>
      <c r="V1081" s="12"/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  <c r="AM1081" s="12"/>
      <c r="AN1081" s="12"/>
      <c r="AO1081" s="12"/>
      <c r="AP1081" s="12"/>
      <c r="AQ1081" s="12"/>
      <c r="AR1081" s="12"/>
      <c r="AS1081" s="12"/>
      <c r="AT1081" s="12"/>
      <c r="AU1081" s="12"/>
      <c r="AV1081" s="12"/>
    </row>
    <row r="1082"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  <c r="AM1082" s="12"/>
      <c r="AN1082" s="12"/>
      <c r="AO1082" s="12"/>
      <c r="AP1082" s="12"/>
      <c r="AQ1082" s="12"/>
      <c r="AR1082" s="12"/>
      <c r="AS1082" s="12"/>
      <c r="AT1082" s="12"/>
      <c r="AU1082" s="12"/>
      <c r="AV1082" s="12"/>
    </row>
    <row r="1083"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  <c r="AM1083" s="12"/>
      <c r="AN1083" s="12"/>
      <c r="AO1083" s="12"/>
      <c r="AP1083" s="12"/>
      <c r="AQ1083" s="12"/>
      <c r="AR1083" s="12"/>
      <c r="AS1083" s="12"/>
      <c r="AT1083" s="12"/>
      <c r="AU1083" s="12"/>
      <c r="AV1083" s="12"/>
    </row>
    <row r="1084"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</row>
    <row r="1085"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</row>
    <row r="1086"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</row>
    <row r="1087"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</row>
    <row r="1088"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</row>
    <row r="1089"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</row>
    <row r="1090"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</row>
    <row r="1091"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</row>
    <row r="1092"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</row>
    <row r="1093"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</row>
    <row r="1094"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</row>
    <row r="1095"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</row>
    <row r="1096"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</row>
    <row r="1097"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</row>
    <row r="1098"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</row>
    <row r="1099"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</row>
    <row r="1100"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</row>
    <row r="1101"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</row>
    <row r="1102"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</row>
    <row r="1103"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</row>
    <row r="1104"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</row>
    <row r="1105"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</row>
    <row r="1106"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  <c r="AM1106" s="12"/>
      <c r="AN1106" s="12"/>
      <c r="AO1106" s="12"/>
      <c r="AP1106" s="12"/>
      <c r="AQ1106" s="12"/>
      <c r="AR1106" s="12"/>
      <c r="AS1106" s="12"/>
      <c r="AT1106" s="12"/>
      <c r="AU1106" s="12"/>
      <c r="AV1106" s="12"/>
    </row>
    <row r="1107"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</row>
    <row r="1108"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  <c r="AM1108" s="12"/>
      <c r="AN1108" s="12"/>
      <c r="AO1108" s="12"/>
      <c r="AP1108" s="12"/>
      <c r="AQ1108" s="12"/>
      <c r="AR1108" s="12"/>
      <c r="AS1108" s="12"/>
      <c r="AT1108" s="12"/>
      <c r="AU1108" s="12"/>
      <c r="AV1108" s="12"/>
    </row>
    <row r="1109"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  <c r="AM1109" s="12"/>
      <c r="AN1109" s="12"/>
      <c r="AO1109" s="12"/>
      <c r="AP1109" s="12"/>
      <c r="AQ1109" s="12"/>
      <c r="AR1109" s="12"/>
      <c r="AS1109" s="12"/>
      <c r="AT1109" s="12"/>
      <c r="AU1109" s="12"/>
      <c r="AV1109" s="12"/>
    </row>
    <row r="1110"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  <c r="AM1110" s="12"/>
      <c r="AN1110" s="12"/>
      <c r="AO1110" s="12"/>
      <c r="AP1110" s="12"/>
      <c r="AQ1110" s="12"/>
      <c r="AR1110" s="12"/>
      <c r="AS1110" s="12"/>
      <c r="AT1110" s="12"/>
      <c r="AU1110" s="12"/>
      <c r="AV1110" s="12"/>
    </row>
    <row r="1111"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  <c r="AM1111" s="12"/>
      <c r="AN1111" s="12"/>
      <c r="AO1111" s="12"/>
      <c r="AP1111" s="12"/>
      <c r="AQ1111" s="12"/>
      <c r="AR1111" s="12"/>
      <c r="AS1111" s="12"/>
      <c r="AT1111" s="12"/>
      <c r="AU1111" s="12"/>
      <c r="AV1111" s="12"/>
    </row>
    <row r="1112"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  <c r="AM1112" s="12"/>
      <c r="AN1112" s="12"/>
      <c r="AO1112" s="12"/>
      <c r="AP1112" s="12"/>
      <c r="AQ1112" s="12"/>
      <c r="AR1112" s="12"/>
      <c r="AS1112" s="12"/>
      <c r="AT1112" s="12"/>
      <c r="AU1112" s="12"/>
      <c r="AV1112" s="12"/>
    </row>
    <row r="1113"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  <c r="AM1113" s="12"/>
      <c r="AN1113" s="12"/>
      <c r="AO1113" s="12"/>
      <c r="AP1113" s="12"/>
      <c r="AQ1113" s="12"/>
      <c r="AR1113" s="12"/>
      <c r="AS1113" s="12"/>
      <c r="AT1113" s="12"/>
      <c r="AU1113" s="12"/>
      <c r="AV1113" s="12"/>
    </row>
    <row r="1114"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  <c r="AM1114" s="12"/>
      <c r="AN1114" s="12"/>
      <c r="AO1114" s="12"/>
      <c r="AP1114" s="12"/>
      <c r="AQ1114" s="12"/>
      <c r="AR1114" s="12"/>
      <c r="AS1114" s="12"/>
      <c r="AT1114" s="12"/>
      <c r="AU1114" s="12"/>
      <c r="AV1114" s="12"/>
    </row>
    <row r="1115"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  <c r="AM1115" s="12"/>
      <c r="AN1115" s="12"/>
      <c r="AO1115" s="12"/>
      <c r="AP1115" s="12"/>
      <c r="AQ1115" s="12"/>
      <c r="AR1115" s="12"/>
      <c r="AS1115" s="12"/>
      <c r="AT1115" s="12"/>
      <c r="AU1115" s="12"/>
      <c r="AV1115" s="12"/>
    </row>
    <row r="1116"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  <c r="AM1116" s="12"/>
      <c r="AN1116" s="12"/>
      <c r="AO1116" s="12"/>
      <c r="AP1116" s="12"/>
      <c r="AQ1116" s="12"/>
      <c r="AR1116" s="12"/>
      <c r="AS1116" s="12"/>
      <c r="AT1116" s="12"/>
      <c r="AU1116" s="12"/>
      <c r="AV1116" s="12"/>
    </row>
    <row r="1117"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  <c r="AM1117" s="12"/>
      <c r="AN1117" s="12"/>
      <c r="AO1117" s="12"/>
      <c r="AP1117" s="12"/>
      <c r="AQ1117" s="12"/>
      <c r="AR1117" s="12"/>
      <c r="AS1117" s="12"/>
      <c r="AT1117" s="12"/>
      <c r="AU1117" s="12"/>
      <c r="AV1117" s="12"/>
    </row>
    <row r="1118"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  <c r="AM1118" s="12"/>
      <c r="AN1118" s="12"/>
      <c r="AO1118" s="12"/>
      <c r="AP1118" s="12"/>
      <c r="AQ1118" s="12"/>
      <c r="AR1118" s="12"/>
      <c r="AS1118" s="12"/>
      <c r="AT1118" s="12"/>
      <c r="AU1118" s="12"/>
      <c r="AV1118" s="12"/>
    </row>
    <row r="1119"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  <c r="AM1119" s="12"/>
      <c r="AN1119" s="12"/>
      <c r="AO1119" s="12"/>
      <c r="AP1119" s="12"/>
      <c r="AQ1119" s="12"/>
      <c r="AR1119" s="12"/>
      <c r="AS1119" s="12"/>
      <c r="AT1119" s="12"/>
      <c r="AU1119" s="12"/>
      <c r="AV1119" s="12"/>
    </row>
    <row r="1120"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  <c r="AM1120" s="12"/>
      <c r="AN1120" s="12"/>
      <c r="AO1120" s="12"/>
      <c r="AP1120" s="12"/>
      <c r="AQ1120" s="12"/>
      <c r="AR1120" s="12"/>
      <c r="AS1120" s="12"/>
      <c r="AT1120" s="12"/>
      <c r="AU1120" s="12"/>
      <c r="AV1120" s="12"/>
    </row>
    <row r="1121"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  <c r="AM1121" s="12"/>
      <c r="AN1121" s="12"/>
      <c r="AO1121" s="12"/>
      <c r="AP1121" s="12"/>
      <c r="AQ1121" s="12"/>
      <c r="AR1121" s="12"/>
      <c r="AS1121" s="12"/>
      <c r="AT1121" s="12"/>
      <c r="AU1121" s="12"/>
      <c r="AV1121" s="12"/>
    </row>
    <row r="1122"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  <c r="AM1122" s="12"/>
      <c r="AN1122" s="12"/>
      <c r="AO1122" s="12"/>
      <c r="AP1122" s="12"/>
      <c r="AQ1122" s="12"/>
      <c r="AR1122" s="12"/>
      <c r="AS1122" s="12"/>
      <c r="AT1122" s="12"/>
      <c r="AU1122" s="12"/>
      <c r="AV1122" s="12"/>
    </row>
    <row r="1123"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</row>
    <row r="1124"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</row>
    <row r="1125"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</row>
    <row r="1126"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</row>
    <row r="1127"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</row>
    <row r="1128"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</row>
    <row r="1129"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  <c r="AM1129" s="12"/>
      <c r="AN1129" s="12"/>
      <c r="AO1129" s="12"/>
      <c r="AP1129" s="12"/>
      <c r="AQ1129" s="12"/>
      <c r="AR1129" s="12"/>
      <c r="AS1129" s="12"/>
      <c r="AT1129" s="12"/>
      <c r="AU1129" s="12"/>
      <c r="AV1129" s="12"/>
    </row>
    <row r="1130"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  <c r="AM1130" s="12"/>
      <c r="AN1130" s="12"/>
      <c r="AO1130" s="12"/>
      <c r="AP1130" s="12"/>
      <c r="AQ1130" s="12"/>
      <c r="AR1130" s="12"/>
      <c r="AS1130" s="12"/>
      <c r="AT1130" s="12"/>
      <c r="AU1130" s="12"/>
      <c r="AV1130" s="12"/>
    </row>
    <row r="1131"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  <c r="AM1131" s="12"/>
      <c r="AN1131" s="12"/>
      <c r="AO1131" s="12"/>
      <c r="AP1131" s="12"/>
      <c r="AQ1131" s="12"/>
      <c r="AR1131" s="12"/>
      <c r="AS1131" s="12"/>
      <c r="AT1131" s="12"/>
      <c r="AU1131" s="12"/>
      <c r="AV1131" s="12"/>
    </row>
    <row r="1132"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</row>
    <row r="1133"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  <c r="AM1133" s="12"/>
      <c r="AN1133" s="12"/>
      <c r="AO1133" s="12"/>
      <c r="AP1133" s="12"/>
      <c r="AQ1133" s="12"/>
      <c r="AR1133" s="12"/>
      <c r="AS1133" s="12"/>
      <c r="AT1133" s="12"/>
      <c r="AU1133" s="12"/>
      <c r="AV1133" s="12"/>
    </row>
    <row r="1134"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</row>
    <row r="1135"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</row>
    <row r="1136"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</row>
    <row r="1137"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</row>
    <row r="1138"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</row>
    <row r="1139"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</row>
    <row r="1140"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</row>
    <row r="1141"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</row>
    <row r="1142"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</row>
    <row r="1143"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</row>
    <row r="1144"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</row>
    <row r="1145"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</row>
    <row r="1146"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</row>
    <row r="1147"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</row>
    <row r="1148"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</row>
    <row r="1149"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</row>
    <row r="1150"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</row>
    <row r="1151"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</row>
    <row r="1152"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</row>
    <row r="1153"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</row>
    <row r="1154"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</row>
    <row r="1155"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</row>
    <row r="1156"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</row>
    <row r="1157"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</row>
    <row r="1158"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</row>
    <row r="1159"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</row>
    <row r="1160"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</row>
    <row r="1161"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</row>
    <row r="1162"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</row>
    <row r="1163"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</row>
    <row r="1164"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</row>
    <row r="1165"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</row>
    <row r="1166"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</row>
    <row r="1167"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</row>
    <row r="1168"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</row>
    <row r="1169"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</row>
    <row r="1170"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</row>
    <row r="1171"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</row>
    <row r="1172"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</row>
    <row r="1173"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</row>
    <row r="1174"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</row>
    <row r="1175"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</row>
    <row r="1176"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</row>
    <row r="1177"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</row>
    <row r="1178"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</row>
    <row r="1179"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</row>
    <row r="1180"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</row>
    <row r="1181"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</row>
    <row r="1182"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</row>
    <row r="1183"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</row>
    <row r="1184"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</row>
    <row r="1185"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</row>
    <row r="1186"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</row>
    <row r="1187"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</row>
    <row r="1188"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</row>
    <row r="1189"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</row>
    <row r="1190"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</row>
    <row r="1191"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</row>
    <row r="1192"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</row>
    <row r="1193"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</row>
    <row r="1194"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</row>
    <row r="1195"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</row>
    <row r="1196"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</row>
    <row r="1197"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</row>
    <row r="1198"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</row>
    <row r="1199"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</row>
    <row r="1200"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</row>
    <row r="1201"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</row>
    <row r="1202"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  <c r="AM1202" s="12"/>
      <c r="AN1202" s="12"/>
      <c r="AO1202" s="12"/>
      <c r="AP1202" s="12"/>
      <c r="AQ1202" s="12"/>
      <c r="AR1202" s="12"/>
      <c r="AS1202" s="12"/>
      <c r="AT1202" s="12"/>
      <c r="AU1202" s="12"/>
      <c r="AV1202" s="12"/>
    </row>
    <row r="1203"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</row>
    <row r="1204"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</row>
    <row r="1205"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</row>
    <row r="1206"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</row>
    <row r="1207"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</row>
    <row r="1208"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</row>
    <row r="1209"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</row>
    <row r="1210"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</row>
    <row r="1211"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  <c r="AM1211" s="12"/>
      <c r="AN1211" s="12"/>
      <c r="AO1211" s="12"/>
      <c r="AP1211" s="12"/>
      <c r="AQ1211" s="12"/>
      <c r="AR1211" s="12"/>
      <c r="AS1211" s="12"/>
      <c r="AT1211" s="12"/>
      <c r="AU1211" s="12"/>
      <c r="AV1211" s="12"/>
    </row>
    <row r="1212"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</row>
    <row r="1213"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</row>
    <row r="1214"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</row>
    <row r="1215"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</row>
    <row r="1216"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</row>
    <row r="1217"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</row>
    <row r="1218"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</row>
    <row r="1219"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</row>
    <row r="1220"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</row>
    <row r="1221"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</row>
    <row r="1222"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</row>
    <row r="1223"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</row>
    <row r="1224"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</row>
    <row r="1225"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  <c r="AM1225" s="12"/>
      <c r="AN1225" s="12"/>
      <c r="AO1225" s="12"/>
      <c r="AP1225" s="12"/>
      <c r="AQ1225" s="12"/>
      <c r="AR1225" s="12"/>
      <c r="AS1225" s="12"/>
      <c r="AT1225" s="12"/>
      <c r="AU1225" s="12"/>
      <c r="AV1225" s="12"/>
    </row>
    <row r="1226"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</row>
    <row r="1227"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</row>
    <row r="1228"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</row>
    <row r="1229"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</row>
    <row r="1230"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</row>
    <row r="1231"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</row>
    <row r="1232"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</row>
    <row r="1233"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</row>
    <row r="1234"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</row>
    <row r="1235"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</row>
    <row r="1236"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</row>
    <row r="1237"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</row>
    <row r="1238"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</row>
    <row r="1239"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</row>
    <row r="1240"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</row>
    <row r="1241"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</row>
    <row r="1242"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</row>
    <row r="1243"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</row>
    <row r="1244"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</row>
    <row r="1245"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</row>
    <row r="1246"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</row>
    <row r="1247"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  <c r="AM1247" s="12"/>
      <c r="AN1247" s="12"/>
      <c r="AO1247" s="12"/>
      <c r="AP1247" s="12"/>
      <c r="AQ1247" s="12"/>
      <c r="AR1247" s="12"/>
      <c r="AS1247" s="12"/>
      <c r="AT1247" s="12"/>
      <c r="AU1247" s="12"/>
      <c r="AV1247" s="12"/>
    </row>
    <row r="1248"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</row>
    <row r="1249"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</row>
    <row r="1250"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</row>
    <row r="1251"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</row>
    <row r="1252"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</row>
    <row r="1253"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</row>
    <row r="1254"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</row>
    <row r="1255"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</row>
    <row r="1256"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</row>
    <row r="1257"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  <c r="AM1257" s="12"/>
      <c r="AN1257" s="12"/>
      <c r="AO1257" s="12"/>
      <c r="AP1257" s="12"/>
      <c r="AQ1257" s="12"/>
      <c r="AR1257" s="12"/>
      <c r="AS1257" s="12"/>
      <c r="AT1257" s="12"/>
      <c r="AU1257" s="12"/>
      <c r="AV1257" s="12"/>
    </row>
    <row r="1258"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  <c r="AM1258" s="12"/>
      <c r="AN1258" s="12"/>
      <c r="AO1258" s="12"/>
      <c r="AP1258" s="12"/>
      <c r="AQ1258" s="12"/>
      <c r="AR1258" s="12"/>
      <c r="AS1258" s="12"/>
      <c r="AT1258" s="12"/>
      <c r="AU1258" s="12"/>
      <c r="AV1258" s="12"/>
    </row>
    <row r="1259"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  <c r="AM1259" s="12"/>
      <c r="AN1259" s="12"/>
      <c r="AO1259" s="12"/>
      <c r="AP1259" s="12"/>
      <c r="AQ1259" s="12"/>
      <c r="AR1259" s="12"/>
      <c r="AS1259" s="12"/>
      <c r="AT1259" s="12"/>
      <c r="AU1259" s="12"/>
      <c r="AV1259" s="12"/>
    </row>
    <row r="1260"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  <c r="AM1260" s="12"/>
      <c r="AN1260" s="12"/>
      <c r="AO1260" s="12"/>
      <c r="AP1260" s="12"/>
      <c r="AQ1260" s="12"/>
      <c r="AR1260" s="12"/>
      <c r="AS1260" s="12"/>
      <c r="AT1260" s="12"/>
      <c r="AU1260" s="12"/>
      <c r="AV1260" s="12"/>
    </row>
    <row r="1261"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  <c r="AM1261" s="12"/>
      <c r="AN1261" s="12"/>
      <c r="AO1261" s="12"/>
      <c r="AP1261" s="12"/>
      <c r="AQ1261" s="12"/>
      <c r="AR1261" s="12"/>
      <c r="AS1261" s="12"/>
      <c r="AT1261" s="12"/>
      <c r="AU1261" s="12"/>
      <c r="AV1261" s="12"/>
    </row>
    <row r="1262"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  <c r="AM1262" s="12"/>
      <c r="AN1262" s="12"/>
      <c r="AO1262" s="12"/>
      <c r="AP1262" s="12"/>
      <c r="AQ1262" s="12"/>
      <c r="AR1262" s="12"/>
      <c r="AS1262" s="12"/>
      <c r="AT1262" s="12"/>
      <c r="AU1262" s="12"/>
      <c r="AV1262" s="12"/>
    </row>
    <row r="1263"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  <c r="AM1263" s="12"/>
      <c r="AN1263" s="12"/>
      <c r="AO1263" s="12"/>
      <c r="AP1263" s="12"/>
      <c r="AQ1263" s="12"/>
      <c r="AR1263" s="12"/>
      <c r="AS1263" s="12"/>
      <c r="AT1263" s="12"/>
      <c r="AU1263" s="12"/>
      <c r="AV1263" s="12"/>
    </row>
    <row r="1264"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  <c r="AM1264" s="12"/>
      <c r="AN1264" s="12"/>
      <c r="AO1264" s="12"/>
      <c r="AP1264" s="12"/>
      <c r="AQ1264" s="12"/>
      <c r="AR1264" s="12"/>
      <c r="AS1264" s="12"/>
      <c r="AT1264" s="12"/>
      <c r="AU1264" s="12"/>
      <c r="AV1264" s="12"/>
    </row>
    <row r="1265"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  <c r="AM1265" s="12"/>
      <c r="AN1265" s="12"/>
      <c r="AO1265" s="12"/>
      <c r="AP1265" s="12"/>
      <c r="AQ1265" s="12"/>
      <c r="AR1265" s="12"/>
      <c r="AS1265" s="12"/>
      <c r="AT1265" s="12"/>
      <c r="AU1265" s="12"/>
      <c r="AV1265" s="12"/>
    </row>
    <row r="1266"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  <c r="AM1266" s="12"/>
      <c r="AN1266" s="12"/>
      <c r="AO1266" s="12"/>
      <c r="AP1266" s="12"/>
      <c r="AQ1266" s="12"/>
      <c r="AR1266" s="12"/>
      <c r="AS1266" s="12"/>
      <c r="AT1266" s="12"/>
      <c r="AU1266" s="12"/>
      <c r="AV1266" s="12"/>
    </row>
    <row r="1267"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  <c r="AM1267" s="12"/>
      <c r="AN1267" s="12"/>
      <c r="AO1267" s="12"/>
      <c r="AP1267" s="12"/>
      <c r="AQ1267" s="12"/>
      <c r="AR1267" s="12"/>
      <c r="AS1267" s="12"/>
      <c r="AT1267" s="12"/>
      <c r="AU1267" s="12"/>
      <c r="AV1267" s="12"/>
    </row>
    <row r="1268"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  <c r="AM1268" s="12"/>
      <c r="AN1268" s="12"/>
      <c r="AO1268" s="12"/>
      <c r="AP1268" s="12"/>
      <c r="AQ1268" s="12"/>
      <c r="AR1268" s="12"/>
      <c r="AS1268" s="12"/>
      <c r="AT1268" s="12"/>
      <c r="AU1268" s="12"/>
      <c r="AV1268" s="12"/>
    </row>
    <row r="1269"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  <c r="AM1269" s="12"/>
      <c r="AN1269" s="12"/>
      <c r="AO1269" s="12"/>
      <c r="AP1269" s="12"/>
      <c r="AQ1269" s="12"/>
      <c r="AR1269" s="12"/>
      <c r="AS1269" s="12"/>
      <c r="AT1269" s="12"/>
      <c r="AU1269" s="12"/>
      <c r="AV1269" s="12"/>
    </row>
    <row r="1270"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  <c r="AM1270" s="12"/>
      <c r="AN1270" s="12"/>
      <c r="AO1270" s="12"/>
      <c r="AP1270" s="12"/>
      <c r="AQ1270" s="12"/>
      <c r="AR1270" s="12"/>
      <c r="AS1270" s="12"/>
      <c r="AT1270" s="12"/>
      <c r="AU1270" s="12"/>
      <c r="AV1270" s="12"/>
    </row>
    <row r="1271"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  <c r="AM1271" s="12"/>
      <c r="AN1271" s="12"/>
      <c r="AO1271" s="12"/>
      <c r="AP1271" s="12"/>
      <c r="AQ1271" s="12"/>
      <c r="AR1271" s="12"/>
      <c r="AS1271" s="12"/>
      <c r="AT1271" s="12"/>
      <c r="AU1271" s="12"/>
      <c r="AV1271" s="12"/>
    </row>
    <row r="1272"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  <c r="AM1272" s="12"/>
      <c r="AN1272" s="12"/>
      <c r="AO1272" s="12"/>
      <c r="AP1272" s="12"/>
      <c r="AQ1272" s="12"/>
      <c r="AR1272" s="12"/>
      <c r="AS1272" s="12"/>
      <c r="AT1272" s="12"/>
      <c r="AU1272" s="12"/>
      <c r="AV1272" s="12"/>
    </row>
    <row r="1273"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  <c r="AM1273" s="12"/>
      <c r="AN1273" s="12"/>
      <c r="AO1273" s="12"/>
      <c r="AP1273" s="12"/>
      <c r="AQ1273" s="12"/>
      <c r="AR1273" s="12"/>
      <c r="AS1273" s="12"/>
      <c r="AT1273" s="12"/>
      <c r="AU1273" s="12"/>
      <c r="AV1273" s="12"/>
    </row>
    <row r="1274"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  <c r="AM1274" s="12"/>
      <c r="AN1274" s="12"/>
      <c r="AO1274" s="12"/>
      <c r="AP1274" s="12"/>
      <c r="AQ1274" s="12"/>
      <c r="AR1274" s="12"/>
      <c r="AS1274" s="12"/>
      <c r="AT1274" s="12"/>
      <c r="AU1274" s="12"/>
      <c r="AV1274" s="12"/>
    </row>
    <row r="1275"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  <c r="AM1275" s="12"/>
      <c r="AN1275" s="12"/>
      <c r="AO1275" s="12"/>
      <c r="AP1275" s="12"/>
      <c r="AQ1275" s="12"/>
      <c r="AR1275" s="12"/>
      <c r="AS1275" s="12"/>
      <c r="AT1275" s="12"/>
      <c r="AU1275" s="12"/>
      <c r="AV1275" s="12"/>
    </row>
    <row r="1276"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  <c r="AM1276" s="12"/>
      <c r="AN1276" s="12"/>
      <c r="AO1276" s="12"/>
      <c r="AP1276" s="12"/>
      <c r="AQ1276" s="12"/>
      <c r="AR1276" s="12"/>
      <c r="AS1276" s="12"/>
      <c r="AT1276" s="12"/>
      <c r="AU1276" s="12"/>
      <c r="AV1276" s="12"/>
    </row>
    <row r="1277"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</row>
    <row r="1278"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</row>
    <row r="1279"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  <c r="AM1279" s="12"/>
      <c r="AN1279" s="12"/>
      <c r="AO1279" s="12"/>
      <c r="AP1279" s="12"/>
      <c r="AQ1279" s="12"/>
      <c r="AR1279" s="12"/>
      <c r="AS1279" s="12"/>
      <c r="AT1279" s="12"/>
      <c r="AU1279" s="12"/>
      <c r="AV1279" s="12"/>
    </row>
    <row r="1280"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  <c r="AM1280" s="12"/>
      <c r="AN1280" s="12"/>
      <c r="AO1280" s="12"/>
      <c r="AP1280" s="12"/>
      <c r="AQ1280" s="12"/>
      <c r="AR1280" s="12"/>
      <c r="AS1280" s="12"/>
      <c r="AT1280" s="12"/>
      <c r="AU1280" s="12"/>
      <c r="AV1280" s="12"/>
    </row>
    <row r="1281"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  <c r="AM1281" s="12"/>
      <c r="AN1281" s="12"/>
      <c r="AO1281" s="12"/>
      <c r="AP1281" s="12"/>
      <c r="AQ1281" s="12"/>
      <c r="AR1281" s="12"/>
      <c r="AS1281" s="12"/>
      <c r="AT1281" s="12"/>
      <c r="AU1281" s="12"/>
      <c r="AV1281" s="12"/>
    </row>
    <row r="1282"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  <c r="AM1282" s="12"/>
      <c r="AN1282" s="12"/>
      <c r="AO1282" s="12"/>
      <c r="AP1282" s="12"/>
      <c r="AQ1282" s="12"/>
      <c r="AR1282" s="12"/>
      <c r="AS1282" s="12"/>
      <c r="AT1282" s="12"/>
      <c r="AU1282" s="12"/>
      <c r="AV1282" s="12"/>
    </row>
    <row r="1283"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  <c r="AM1283" s="12"/>
      <c r="AN1283" s="12"/>
      <c r="AO1283" s="12"/>
      <c r="AP1283" s="12"/>
      <c r="AQ1283" s="12"/>
      <c r="AR1283" s="12"/>
      <c r="AS1283" s="12"/>
      <c r="AT1283" s="12"/>
      <c r="AU1283" s="12"/>
      <c r="AV1283" s="12"/>
    </row>
    <row r="1284"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  <c r="AM1284" s="12"/>
      <c r="AN1284" s="12"/>
      <c r="AO1284" s="12"/>
      <c r="AP1284" s="12"/>
      <c r="AQ1284" s="12"/>
      <c r="AR1284" s="12"/>
      <c r="AS1284" s="12"/>
      <c r="AT1284" s="12"/>
      <c r="AU1284" s="12"/>
      <c r="AV1284" s="12"/>
    </row>
    <row r="1285"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  <c r="AM1285" s="12"/>
      <c r="AN1285" s="12"/>
      <c r="AO1285" s="12"/>
      <c r="AP1285" s="12"/>
      <c r="AQ1285" s="12"/>
      <c r="AR1285" s="12"/>
      <c r="AS1285" s="12"/>
      <c r="AT1285" s="12"/>
      <c r="AU1285" s="12"/>
      <c r="AV1285" s="12"/>
    </row>
    <row r="1286"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  <c r="AM1286" s="12"/>
      <c r="AN1286" s="12"/>
      <c r="AO1286" s="12"/>
      <c r="AP1286" s="12"/>
      <c r="AQ1286" s="12"/>
      <c r="AR1286" s="12"/>
      <c r="AS1286" s="12"/>
      <c r="AT1286" s="12"/>
      <c r="AU1286" s="12"/>
      <c r="AV1286" s="12"/>
    </row>
    <row r="1287"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  <c r="AM1287" s="12"/>
      <c r="AN1287" s="12"/>
      <c r="AO1287" s="12"/>
      <c r="AP1287" s="12"/>
      <c r="AQ1287" s="12"/>
      <c r="AR1287" s="12"/>
      <c r="AS1287" s="12"/>
      <c r="AT1287" s="12"/>
      <c r="AU1287" s="12"/>
      <c r="AV1287" s="12"/>
    </row>
    <row r="1288"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  <c r="AM1288" s="12"/>
      <c r="AN1288" s="12"/>
      <c r="AO1288" s="12"/>
      <c r="AP1288" s="12"/>
      <c r="AQ1288" s="12"/>
      <c r="AR1288" s="12"/>
      <c r="AS1288" s="12"/>
      <c r="AT1288" s="12"/>
      <c r="AU1288" s="12"/>
      <c r="AV1288" s="12"/>
    </row>
    <row r="1289"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  <c r="AM1289" s="12"/>
      <c r="AN1289" s="12"/>
      <c r="AO1289" s="12"/>
      <c r="AP1289" s="12"/>
      <c r="AQ1289" s="12"/>
      <c r="AR1289" s="12"/>
      <c r="AS1289" s="12"/>
      <c r="AT1289" s="12"/>
      <c r="AU1289" s="12"/>
      <c r="AV1289" s="12"/>
    </row>
    <row r="1290"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  <c r="AM1290" s="12"/>
      <c r="AN1290" s="12"/>
      <c r="AO1290" s="12"/>
      <c r="AP1290" s="12"/>
      <c r="AQ1290" s="12"/>
      <c r="AR1290" s="12"/>
      <c r="AS1290" s="12"/>
      <c r="AT1290" s="12"/>
      <c r="AU1290" s="12"/>
      <c r="AV1290" s="12"/>
    </row>
    <row r="1291"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  <c r="AM1291" s="12"/>
      <c r="AN1291" s="12"/>
      <c r="AO1291" s="12"/>
      <c r="AP1291" s="12"/>
      <c r="AQ1291" s="12"/>
      <c r="AR1291" s="12"/>
      <c r="AS1291" s="12"/>
      <c r="AT1291" s="12"/>
      <c r="AU1291" s="12"/>
      <c r="AV1291" s="12"/>
    </row>
    <row r="1292"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</row>
    <row r="1293"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</row>
    <row r="1294"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</row>
    <row r="1295"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</row>
    <row r="1296"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</row>
    <row r="1297"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</row>
    <row r="1298"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</row>
    <row r="1299"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</row>
    <row r="1300"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</row>
    <row r="1301"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</row>
    <row r="1302"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</row>
    <row r="1303"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</row>
    <row r="1304"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</row>
    <row r="1305"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</row>
    <row r="1306"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</row>
    <row r="1307"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</row>
    <row r="1308"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</row>
    <row r="1309"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</row>
    <row r="1310"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</row>
    <row r="1311"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</row>
    <row r="1312"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</row>
    <row r="1313"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</row>
    <row r="1314"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</row>
    <row r="1315"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</row>
    <row r="1316"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</row>
    <row r="1317"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</row>
    <row r="1318"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</row>
    <row r="1319"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</row>
    <row r="1320"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</row>
    <row r="1321"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</row>
    <row r="1322"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</row>
    <row r="1323"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  <c r="AM1323" s="12"/>
      <c r="AN1323" s="12"/>
      <c r="AO1323" s="12"/>
      <c r="AP1323" s="12"/>
      <c r="AQ1323" s="12"/>
      <c r="AR1323" s="12"/>
      <c r="AS1323" s="12"/>
      <c r="AT1323" s="12"/>
      <c r="AU1323" s="12"/>
      <c r="AV1323" s="12"/>
    </row>
    <row r="1324"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</row>
    <row r="1325"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</row>
    <row r="1326"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</row>
    <row r="1327"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</row>
    <row r="1328"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</row>
    <row r="1329"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</row>
    <row r="1330"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</row>
    <row r="1331"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</row>
    <row r="1332"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</row>
    <row r="1333"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</row>
    <row r="1334"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  <c r="AM1334" s="12"/>
      <c r="AN1334" s="12"/>
      <c r="AO1334" s="12"/>
      <c r="AP1334" s="12"/>
      <c r="AQ1334" s="12"/>
      <c r="AR1334" s="12"/>
      <c r="AS1334" s="12"/>
      <c r="AT1334" s="12"/>
      <c r="AU1334" s="12"/>
      <c r="AV1334" s="12"/>
    </row>
    <row r="1335"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</row>
    <row r="1336"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</row>
    <row r="1337"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</row>
    <row r="1338"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</row>
    <row r="1339"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</row>
    <row r="1340"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</row>
    <row r="1341"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</row>
    <row r="1342"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</row>
    <row r="1343"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</row>
    <row r="1344"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</row>
    <row r="1345"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</row>
    <row r="1346"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</row>
    <row r="1347"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</row>
    <row r="1348"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</row>
    <row r="1349"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</row>
    <row r="1350"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</row>
    <row r="1351"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</row>
    <row r="1352"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</row>
    <row r="1353"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</row>
    <row r="1354"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</row>
    <row r="1355"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</row>
    <row r="1356"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</row>
    <row r="1357"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</row>
    <row r="1358"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</row>
    <row r="1359"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</row>
    <row r="1360"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</row>
    <row r="1361"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</row>
    <row r="1362"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</row>
    <row r="1363"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</row>
    <row r="1364"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</row>
    <row r="1365"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</row>
    <row r="1366"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</row>
    <row r="1367"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</row>
    <row r="1368"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</row>
    <row r="1369"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</row>
    <row r="1370"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</row>
    <row r="1371"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</row>
    <row r="1372"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</row>
    <row r="1373"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</row>
    <row r="1374"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</row>
    <row r="1375"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  <c r="AM1375" s="12"/>
      <c r="AN1375" s="12"/>
      <c r="AO1375" s="12"/>
      <c r="AP1375" s="12"/>
      <c r="AQ1375" s="12"/>
      <c r="AR1375" s="12"/>
      <c r="AS1375" s="12"/>
      <c r="AT1375" s="12"/>
      <c r="AU1375" s="12"/>
      <c r="AV1375" s="12"/>
    </row>
    <row r="1376"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  <c r="AM1376" s="12"/>
      <c r="AN1376" s="12"/>
      <c r="AO1376" s="12"/>
      <c r="AP1376" s="12"/>
      <c r="AQ1376" s="12"/>
      <c r="AR1376" s="12"/>
      <c r="AS1376" s="12"/>
      <c r="AT1376" s="12"/>
      <c r="AU1376" s="12"/>
      <c r="AV1376" s="12"/>
    </row>
    <row r="1377"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  <c r="AM1377" s="12"/>
      <c r="AN1377" s="12"/>
      <c r="AO1377" s="12"/>
      <c r="AP1377" s="12"/>
      <c r="AQ1377" s="12"/>
      <c r="AR1377" s="12"/>
      <c r="AS1377" s="12"/>
      <c r="AT1377" s="12"/>
      <c r="AU1377" s="12"/>
      <c r="AV1377" s="12"/>
    </row>
    <row r="1378"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  <c r="AM1378" s="12"/>
      <c r="AN1378" s="12"/>
      <c r="AO1378" s="12"/>
      <c r="AP1378" s="12"/>
      <c r="AQ1378" s="12"/>
      <c r="AR1378" s="12"/>
      <c r="AS1378" s="12"/>
      <c r="AT1378" s="12"/>
      <c r="AU1378" s="12"/>
      <c r="AV1378" s="12"/>
    </row>
    <row r="1379"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  <c r="AM1379" s="12"/>
      <c r="AN1379" s="12"/>
      <c r="AO1379" s="12"/>
      <c r="AP1379" s="12"/>
      <c r="AQ1379" s="12"/>
      <c r="AR1379" s="12"/>
      <c r="AS1379" s="12"/>
      <c r="AT1379" s="12"/>
      <c r="AU1379" s="12"/>
      <c r="AV1379" s="12"/>
    </row>
    <row r="1380"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  <c r="AM1380" s="12"/>
      <c r="AN1380" s="12"/>
      <c r="AO1380" s="12"/>
      <c r="AP1380" s="12"/>
      <c r="AQ1380" s="12"/>
      <c r="AR1380" s="12"/>
      <c r="AS1380" s="12"/>
      <c r="AT1380" s="12"/>
      <c r="AU1380" s="12"/>
      <c r="AV1380" s="12"/>
    </row>
    <row r="1381"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  <c r="AM1381" s="12"/>
      <c r="AN1381" s="12"/>
      <c r="AO1381" s="12"/>
      <c r="AP1381" s="12"/>
      <c r="AQ1381" s="12"/>
      <c r="AR1381" s="12"/>
      <c r="AS1381" s="12"/>
      <c r="AT1381" s="12"/>
      <c r="AU1381" s="12"/>
      <c r="AV1381" s="12"/>
    </row>
    <row r="1382"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</row>
    <row r="1383"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</row>
    <row r="1384"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</row>
    <row r="1385"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</row>
    <row r="1386"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</row>
    <row r="1387"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</row>
    <row r="1388"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</row>
    <row r="1389"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</row>
    <row r="1390"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</row>
    <row r="1391"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</row>
    <row r="1392"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  <c r="AM1392" s="12"/>
      <c r="AN1392" s="12"/>
      <c r="AO1392" s="12"/>
      <c r="AP1392" s="12"/>
      <c r="AQ1392" s="12"/>
      <c r="AR1392" s="12"/>
      <c r="AS1392" s="12"/>
      <c r="AT1392" s="12"/>
      <c r="AU1392" s="12"/>
      <c r="AV1392" s="12"/>
    </row>
    <row r="1393"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</row>
    <row r="1394"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</row>
    <row r="1395"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  <c r="AM1395" s="12"/>
      <c r="AN1395" s="12"/>
      <c r="AO1395" s="12"/>
      <c r="AP1395" s="12"/>
      <c r="AQ1395" s="12"/>
      <c r="AR1395" s="12"/>
      <c r="AS1395" s="12"/>
      <c r="AT1395" s="12"/>
      <c r="AU1395" s="12"/>
      <c r="AV1395" s="12"/>
    </row>
    <row r="1396"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</row>
    <row r="1397"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</row>
    <row r="1398"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</row>
    <row r="1399"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</row>
    <row r="1400"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</row>
    <row r="1401"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</row>
    <row r="1402"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</row>
    <row r="1403"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</row>
    <row r="1404"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</row>
    <row r="1405"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</row>
    <row r="1406"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</row>
    <row r="1407"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</row>
    <row r="1408"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</row>
    <row r="1409"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</row>
    <row r="1410"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</row>
    <row r="1411"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</row>
    <row r="1412"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</row>
    <row r="1413"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</row>
    <row r="1414"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</row>
    <row r="1415"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</row>
    <row r="1416"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</row>
    <row r="1417"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</row>
    <row r="1418"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</row>
    <row r="1419"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</row>
    <row r="1420"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</row>
    <row r="1421"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</row>
    <row r="1422"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</row>
    <row r="1423"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</row>
    <row r="1424"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</row>
    <row r="1425"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</row>
    <row r="1426"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</row>
    <row r="1427"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</row>
    <row r="1428"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</row>
    <row r="1429"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</row>
    <row r="1430"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</row>
    <row r="1431"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</row>
    <row r="1432"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</row>
    <row r="1433"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</row>
    <row r="1434"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</row>
    <row r="1435"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</row>
    <row r="1436"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</row>
    <row r="1437"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  <c r="AM1437" s="12"/>
      <c r="AN1437" s="12"/>
      <c r="AO1437" s="12"/>
      <c r="AP1437" s="12"/>
      <c r="AQ1437" s="12"/>
      <c r="AR1437" s="12"/>
      <c r="AS1437" s="12"/>
      <c r="AT1437" s="12"/>
      <c r="AU1437" s="12"/>
      <c r="AV1437" s="12"/>
    </row>
    <row r="1438"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</row>
    <row r="1439"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</row>
    <row r="1440"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</row>
    <row r="1441"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</row>
    <row r="1442"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</row>
    <row r="1443"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</row>
    <row r="1444"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</row>
    <row r="1445"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</row>
    <row r="1446"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  <c r="AM1446" s="12"/>
      <c r="AN1446" s="12"/>
      <c r="AO1446" s="12"/>
      <c r="AP1446" s="12"/>
      <c r="AQ1446" s="12"/>
      <c r="AR1446" s="12"/>
      <c r="AS1446" s="12"/>
      <c r="AT1446" s="12"/>
      <c r="AU1446" s="12"/>
      <c r="AV1446" s="12"/>
    </row>
    <row r="1447"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  <c r="AM1447" s="12"/>
      <c r="AN1447" s="12"/>
      <c r="AO1447" s="12"/>
      <c r="AP1447" s="12"/>
      <c r="AQ1447" s="12"/>
      <c r="AR1447" s="12"/>
      <c r="AS1447" s="12"/>
      <c r="AT1447" s="12"/>
      <c r="AU1447" s="12"/>
      <c r="AV1447" s="12"/>
    </row>
    <row r="1448"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</row>
    <row r="1449"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</row>
    <row r="1450"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</row>
    <row r="1451"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</row>
    <row r="1452"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</row>
    <row r="1453"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</row>
    <row r="1454"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</row>
    <row r="1455"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</row>
    <row r="1456"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</row>
    <row r="1457"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</row>
    <row r="1458"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</row>
    <row r="1459"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</row>
    <row r="1460"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</row>
    <row r="1461"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</row>
    <row r="1462"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</row>
    <row r="1463"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</row>
    <row r="1464"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</row>
    <row r="1465"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</row>
    <row r="1466"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</row>
    <row r="1467"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</row>
    <row r="1468"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</row>
    <row r="1469"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</row>
    <row r="1470"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</row>
    <row r="1471"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</row>
    <row r="1472"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  <c r="AM1472" s="12"/>
      <c r="AN1472" s="12"/>
      <c r="AO1472" s="12"/>
      <c r="AP1472" s="12"/>
      <c r="AQ1472" s="12"/>
      <c r="AR1472" s="12"/>
      <c r="AS1472" s="12"/>
      <c r="AT1472" s="12"/>
      <c r="AU1472" s="12"/>
      <c r="AV1472" s="12"/>
    </row>
    <row r="1473"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</row>
    <row r="1474"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  <c r="AM1474" s="12"/>
      <c r="AN1474" s="12"/>
      <c r="AO1474" s="12"/>
      <c r="AP1474" s="12"/>
      <c r="AQ1474" s="12"/>
      <c r="AR1474" s="12"/>
      <c r="AS1474" s="12"/>
      <c r="AT1474" s="12"/>
      <c r="AU1474" s="12"/>
      <c r="AV1474" s="12"/>
    </row>
    <row r="1475"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</row>
    <row r="1476"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  <c r="AM1476" s="12"/>
      <c r="AN1476" s="12"/>
      <c r="AO1476" s="12"/>
      <c r="AP1476" s="12"/>
      <c r="AQ1476" s="12"/>
      <c r="AR1476" s="12"/>
      <c r="AS1476" s="12"/>
      <c r="AT1476" s="12"/>
      <c r="AU1476" s="12"/>
      <c r="AV1476" s="12"/>
    </row>
    <row r="1477"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  <c r="AM1477" s="12"/>
      <c r="AN1477" s="12"/>
      <c r="AO1477" s="12"/>
      <c r="AP1477" s="12"/>
      <c r="AQ1477" s="12"/>
      <c r="AR1477" s="12"/>
      <c r="AS1477" s="12"/>
      <c r="AT1477" s="12"/>
      <c r="AU1477" s="12"/>
      <c r="AV1477" s="12"/>
    </row>
    <row r="1478"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</row>
    <row r="1479"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</row>
    <row r="1480"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</row>
    <row r="1481"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</row>
    <row r="1482"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</row>
    <row r="1483"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</row>
    <row r="1484"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</row>
    <row r="1485"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</row>
    <row r="1486"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</row>
    <row r="1487"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</row>
    <row r="1488"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</row>
    <row r="1489"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</row>
    <row r="1490"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  <c r="AM1490" s="12"/>
      <c r="AN1490" s="12"/>
      <c r="AO1490" s="12"/>
      <c r="AP1490" s="12"/>
      <c r="AQ1490" s="12"/>
      <c r="AR1490" s="12"/>
      <c r="AS1490" s="12"/>
      <c r="AT1490" s="12"/>
      <c r="AU1490" s="12"/>
      <c r="AV1490" s="12"/>
    </row>
    <row r="1491"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  <c r="AM1491" s="12"/>
      <c r="AN1491" s="12"/>
      <c r="AO1491" s="12"/>
      <c r="AP1491" s="12"/>
      <c r="AQ1491" s="12"/>
      <c r="AR1491" s="12"/>
      <c r="AS1491" s="12"/>
      <c r="AT1491" s="12"/>
      <c r="AU1491" s="12"/>
      <c r="AV1491" s="12"/>
    </row>
    <row r="1492"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</row>
    <row r="1493"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</row>
    <row r="1494"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  <c r="AM1494" s="12"/>
      <c r="AN1494" s="12"/>
      <c r="AO1494" s="12"/>
      <c r="AP1494" s="12"/>
      <c r="AQ1494" s="12"/>
      <c r="AR1494" s="12"/>
      <c r="AS1494" s="12"/>
      <c r="AT1494" s="12"/>
      <c r="AU1494" s="12"/>
      <c r="AV1494" s="12"/>
    </row>
    <row r="1495"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</row>
    <row r="1496"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  <c r="AC1496" s="12"/>
      <c r="AD1496" s="12"/>
      <c r="AE1496" s="12"/>
      <c r="AF1496" s="12"/>
      <c r="AG1496" s="12"/>
      <c r="AH1496" s="12"/>
      <c r="AI1496" s="12"/>
      <c r="AJ1496" s="12"/>
      <c r="AK1496" s="12"/>
      <c r="AL1496" s="12"/>
      <c r="AM1496" s="12"/>
      <c r="AN1496" s="12"/>
      <c r="AO1496" s="12"/>
      <c r="AP1496" s="12"/>
      <c r="AQ1496" s="12"/>
      <c r="AR1496" s="12"/>
      <c r="AS1496" s="12"/>
      <c r="AT1496" s="12"/>
      <c r="AU1496" s="12"/>
      <c r="AV1496" s="12"/>
    </row>
    <row r="1497"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  <c r="AM1497" s="12"/>
      <c r="AN1497" s="12"/>
      <c r="AO1497" s="12"/>
      <c r="AP1497" s="12"/>
      <c r="AQ1497" s="12"/>
      <c r="AR1497" s="12"/>
      <c r="AS1497" s="12"/>
      <c r="AT1497" s="12"/>
      <c r="AU1497" s="12"/>
      <c r="AV1497" s="12"/>
    </row>
    <row r="1498"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</row>
    <row r="1499"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</row>
    <row r="1500"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</row>
    <row r="1501"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</row>
    <row r="1502"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</row>
    <row r="1503"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</row>
    <row r="1504"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</row>
    <row r="1505"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</row>
    <row r="1506"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</row>
    <row r="1507"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</row>
    <row r="1508"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</row>
    <row r="1509"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</row>
    <row r="1510"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</row>
    <row r="1511"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</row>
    <row r="1512"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  <c r="AM1512" s="12"/>
      <c r="AN1512" s="12"/>
      <c r="AO1512" s="12"/>
      <c r="AP1512" s="12"/>
      <c r="AQ1512" s="12"/>
      <c r="AR1512" s="12"/>
      <c r="AS1512" s="12"/>
      <c r="AT1512" s="12"/>
      <c r="AU1512" s="12"/>
      <c r="AV1512" s="12"/>
    </row>
    <row r="1513"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</row>
    <row r="1514"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</row>
    <row r="1515"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  <c r="AM1515" s="12"/>
      <c r="AN1515" s="12"/>
      <c r="AO1515" s="12"/>
      <c r="AP1515" s="12"/>
      <c r="AQ1515" s="12"/>
      <c r="AR1515" s="12"/>
      <c r="AS1515" s="12"/>
      <c r="AT1515" s="12"/>
      <c r="AU1515" s="12"/>
      <c r="AV1515" s="12"/>
    </row>
    <row r="1516"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  <c r="AM1516" s="12"/>
      <c r="AN1516" s="12"/>
      <c r="AO1516" s="12"/>
      <c r="AP1516" s="12"/>
      <c r="AQ1516" s="12"/>
      <c r="AR1516" s="12"/>
      <c r="AS1516" s="12"/>
      <c r="AT1516" s="12"/>
      <c r="AU1516" s="12"/>
      <c r="AV1516" s="12"/>
    </row>
    <row r="1517"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</row>
    <row r="1518"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</row>
    <row r="1519"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</row>
    <row r="1520"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</row>
    <row r="1521"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</row>
    <row r="1522"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</row>
    <row r="1523"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</row>
    <row r="1524"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</row>
    <row r="1525"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</row>
    <row r="1526"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  <c r="AC1526" s="12"/>
      <c r="AD1526" s="12"/>
      <c r="AE1526" s="12"/>
      <c r="AF1526" s="12"/>
      <c r="AG1526" s="12"/>
      <c r="AH1526" s="12"/>
      <c r="AI1526" s="12"/>
      <c r="AJ1526" s="12"/>
      <c r="AK1526" s="12"/>
      <c r="AL1526" s="12"/>
      <c r="AM1526" s="12"/>
      <c r="AN1526" s="12"/>
      <c r="AO1526" s="12"/>
      <c r="AP1526" s="12"/>
      <c r="AQ1526" s="12"/>
      <c r="AR1526" s="12"/>
      <c r="AS1526" s="12"/>
      <c r="AT1526" s="12"/>
      <c r="AU1526" s="12"/>
      <c r="AV1526" s="12"/>
    </row>
    <row r="1527"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  <c r="AC1527" s="12"/>
      <c r="AD1527" s="12"/>
      <c r="AE1527" s="12"/>
      <c r="AF1527" s="12"/>
      <c r="AG1527" s="12"/>
      <c r="AH1527" s="12"/>
      <c r="AI1527" s="12"/>
      <c r="AJ1527" s="12"/>
      <c r="AK1527" s="12"/>
      <c r="AL1527" s="12"/>
      <c r="AM1527" s="12"/>
      <c r="AN1527" s="12"/>
      <c r="AO1527" s="12"/>
      <c r="AP1527" s="12"/>
      <c r="AQ1527" s="12"/>
      <c r="AR1527" s="12"/>
      <c r="AS1527" s="12"/>
      <c r="AT1527" s="12"/>
      <c r="AU1527" s="12"/>
      <c r="AV1527" s="12"/>
    </row>
    <row r="1528"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  <c r="AM1528" s="12"/>
      <c r="AN1528" s="12"/>
      <c r="AO1528" s="12"/>
      <c r="AP1528" s="12"/>
      <c r="AQ1528" s="12"/>
      <c r="AR1528" s="12"/>
      <c r="AS1528" s="12"/>
      <c r="AT1528" s="12"/>
      <c r="AU1528" s="12"/>
      <c r="AV1528" s="12"/>
    </row>
    <row r="1529"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</row>
    <row r="1530"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</row>
    <row r="1531"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</row>
    <row r="1532"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</row>
    <row r="1533"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</row>
    <row r="1534"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</row>
    <row r="1535"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</row>
    <row r="1536"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</row>
    <row r="1537"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</row>
    <row r="1538"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</row>
    <row r="1539"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</row>
    <row r="1540"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  <c r="AM1540" s="12"/>
      <c r="AN1540" s="12"/>
      <c r="AO1540" s="12"/>
      <c r="AP1540" s="12"/>
      <c r="AQ1540" s="12"/>
      <c r="AR1540" s="12"/>
      <c r="AS1540" s="12"/>
      <c r="AT1540" s="12"/>
      <c r="AU1540" s="12"/>
      <c r="AV1540" s="12"/>
    </row>
    <row r="1541"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  <c r="AM1541" s="12"/>
      <c r="AN1541" s="12"/>
      <c r="AO1541" s="12"/>
      <c r="AP1541" s="12"/>
      <c r="AQ1541" s="12"/>
      <c r="AR1541" s="12"/>
      <c r="AS1541" s="12"/>
      <c r="AT1541" s="12"/>
      <c r="AU1541" s="12"/>
      <c r="AV1541" s="12"/>
    </row>
    <row r="1542"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  <c r="AM1542" s="12"/>
      <c r="AN1542" s="12"/>
      <c r="AO1542" s="12"/>
      <c r="AP1542" s="12"/>
      <c r="AQ1542" s="12"/>
      <c r="AR1542" s="12"/>
      <c r="AS1542" s="12"/>
      <c r="AT1542" s="12"/>
      <c r="AU1542" s="12"/>
      <c r="AV1542" s="12"/>
    </row>
    <row r="1543"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  <c r="AM1543" s="12"/>
      <c r="AN1543" s="12"/>
      <c r="AO1543" s="12"/>
      <c r="AP1543" s="12"/>
      <c r="AQ1543" s="12"/>
      <c r="AR1543" s="12"/>
      <c r="AS1543" s="12"/>
      <c r="AT1543" s="12"/>
      <c r="AU1543" s="12"/>
      <c r="AV1543" s="12"/>
    </row>
    <row r="1544"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  <c r="AM1544" s="12"/>
      <c r="AN1544" s="12"/>
      <c r="AO1544" s="12"/>
      <c r="AP1544" s="12"/>
      <c r="AQ1544" s="12"/>
      <c r="AR1544" s="12"/>
      <c r="AS1544" s="12"/>
      <c r="AT1544" s="12"/>
      <c r="AU1544" s="12"/>
      <c r="AV1544" s="12"/>
    </row>
    <row r="1545"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  <c r="AM1545" s="12"/>
      <c r="AN1545" s="12"/>
      <c r="AO1545" s="12"/>
      <c r="AP1545" s="12"/>
      <c r="AQ1545" s="12"/>
      <c r="AR1545" s="12"/>
      <c r="AS1545" s="12"/>
      <c r="AT1545" s="12"/>
      <c r="AU1545" s="12"/>
      <c r="AV1545" s="12"/>
    </row>
    <row r="1546"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  <c r="AM1546" s="12"/>
      <c r="AN1546" s="12"/>
      <c r="AO1546" s="12"/>
      <c r="AP1546" s="12"/>
      <c r="AQ1546" s="12"/>
      <c r="AR1546" s="12"/>
      <c r="AS1546" s="12"/>
      <c r="AT1546" s="12"/>
      <c r="AU1546" s="12"/>
      <c r="AV1546" s="12"/>
    </row>
    <row r="1547"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  <c r="AM1547" s="12"/>
      <c r="AN1547" s="12"/>
      <c r="AO1547" s="12"/>
      <c r="AP1547" s="12"/>
      <c r="AQ1547" s="12"/>
      <c r="AR1547" s="12"/>
      <c r="AS1547" s="12"/>
      <c r="AT1547" s="12"/>
      <c r="AU1547" s="12"/>
      <c r="AV1547" s="12"/>
    </row>
    <row r="1548"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  <c r="AM1548" s="12"/>
      <c r="AN1548" s="12"/>
      <c r="AO1548" s="12"/>
      <c r="AP1548" s="12"/>
      <c r="AQ1548" s="12"/>
      <c r="AR1548" s="12"/>
      <c r="AS1548" s="12"/>
      <c r="AT1548" s="12"/>
      <c r="AU1548" s="12"/>
      <c r="AV1548" s="12"/>
    </row>
    <row r="1549"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  <c r="AM1549" s="12"/>
      <c r="AN1549" s="12"/>
      <c r="AO1549" s="12"/>
      <c r="AP1549" s="12"/>
      <c r="AQ1549" s="12"/>
      <c r="AR1549" s="12"/>
      <c r="AS1549" s="12"/>
      <c r="AT1549" s="12"/>
      <c r="AU1549" s="12"/>
      <c r="AV1549" s="12"/>
    </row>
    <row r="1550"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  <c r="AM1550" s="12"/>
      <c r="AN1550" s="12"/>
      <c r="AO1550" s="12"/>
      <c r="AP1550" s="12"/>
      <c r="AQ1550" s="12"/>
      <c r="AR1550" s="12"/>
      <c r="AS1550" s="12"/>
      <c r="AT1550" s="12"/>
      <c r="AU1550" s="12"/>
      <c r="AV1550" s="12"/>
    </row>
    <row r="1551"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  <c r="AM1551" s="12"/>
      <c r="AN1551" s="12"/>
      <c r="AO1551" s="12"/>
      <c r="AP1551" s="12"/>
      <c r="AQ1551" s="12"/>
      <c r="AR1551" s="12"/>
      <c r="AS1551" s="12"/>
      <c r="AT1551" s="12"/>
      <c r="AU1551" s="12"/>
      <c r="AV1551" s="12"/>
    </row>
    <row r="1552"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  <c r="AM1552" s="12"/>
      <c r="AN1552" s="12"/>
      <c r="AO1552" s="12"/>
      <c r="AP1552" s="12"/>
      <c r="AQ1552" s="12"/>
      <c r="AR1552" s="12"/>
      <c r="AS1552" s="12"/>
      <c r="AT1552" s="12"/>
      <c r="AU1552" s="12"/>
      <c r="AV1552" s="12"/>
    </row>
    <row r="1553"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  <c r="AM1553" s="12"/>
      <c r="AN1553" s="12"/>
      <c r="AO1553" s="12"/>
      <c r="AP1553" s="12"/>
      <c r="AQ1553" s="12"/>
      <c r="AR1553" s="12"/>
      <c r="AS1553" s="12"/>
      <c r="AT1553" s="12"/>
      <c r="AU1553" s="12"/>
      <c r="AV1553" s="12"/>
    </row>
    <row r="1554"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  <c r="AM1554" s="12"/>
      <c r="AN1554" s="12"/>
      <c r="AO1554" s="12"/>
      <c r="AP1554" s="12"/>
      <c r="AQ1554" s="12"/>
      <c r="AR1554" s="12"/>
      <c r="AS1554" s="12"/>
      <c r="AT1554" s="12"/>
      <c r="AU1554" s="12"/>
      <c r="AV1554" s="12"/>
    </row>
    <row r="1555"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  <c r="AM1555" s="12"/>
      <c r="AN1555" s="12"/>
      <c r="AO1555" s="12"/>
      <c r="AP1555" s="12"/>
      <c r="AQ1555" s="12"/>
      <c r="AR1555" s="12"/>
      <c r="AS1555" s="12"/>
      <c r="AT1555" s="12"/>
      <c r="AU1555" s="12"/>
      <c r="AV1555" s="12"/>
    </row>
    <row r="1556"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  <c r="AM1556" s="12"/>
      <c r="AN1556" s="12"/>
      <c r="AO1556" s="12"/>
      <c r="AP1556" s="12"/>
      <c r="AQ1556" s="12"/>
      <c r="AR1556" s="12"/>
      <c r="AS1556" s="12"/>
      <c r="AT1556" s="12"/>
      <c r="AU1556" s="12"/>
      <c r="AV1556" s="12"/>
    </row>
    <row r="1557"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  <c r="AM1557" s="12"/>
      <c r="AN1557" s="12"/>
      <c r="AO1557" s="12"/>
      <c r="AP1557" s="12"/>
      <c r="AQ1557" s="12"/>
      <c r="AR1557" s="12"/>
      <c r="AS1557" s="12"/>
      <c r="AT1557" s="12"/>
      <c r="AU1557" s="12"/>
      <c r="AV1557" s="12"/>
    </row>
    <row r="1558"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  <c r="AM1558" s="12"/>
      <c r="AN1558" s="12"/>
      <c r="AO1558" s="12"/>
      <c r="AP1558" s="12"/>
      <c r="AQ1558" s="12"/>
      <c r="AR1558" s="12"/>
      <c r="AS1558" s="12"/>
      <c r="AT1558" s="12"/>
      <c r="AU1558" s="12"/>
      <c r="AV1558" s="12"/>
    </row>
    <row r="1559"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  <c r="AM1559" s="12"/>
      <c r="AN1559" s="12"/>
      <c r="AO1559" s="12"/>
      <c r="AP1559" s="12"/>
      <c r="AQ1559" s="12"/>
      <c r="AR1559" s="12"/>
      <c r="AS1559" s="12"/>
      <c r="AT1559" s="12"/>
      <c r="AU1559" s="12"/>
      <c r="AV1559" s="12"/>
    </row>
    <row r="1560"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  <c r="AM1560" s="12"/>
      <c r="AN1560" s="12"/>
      <c r="AO1560" s="12"/>
      <c r="AP1560" s="12"/>
      <c r="AQ1560" s="12"/>
      <c r="AR1560" s="12"/>
      <c r="AS1560" s="12"/>
      <c r="AT1560" s="12"/>
      <c r="AU1560" s="12"/>
      <c r="AV1560" s="12"/>
    </row>
    <row r="1561"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  <c r="AM1561" s="12"/>
      <c r="AN1561" s="12"/>
      <c r="AO1561" s="12"/>
      <c r="AP1561" s="12"/>
      <c r="AQ1561" s="12"/>
      <c r="AR1561" s="12"/>
      <c r="AS1561" s="12"/>
      <c r="AT1561" s="12"/>
      <c r="AU1561" s="12"/>
      <c r="AV1561" s="12"/>
    </row>
    <row r="1562"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  <c r="AM1562" s="12"/>
      <c r="AN1562" s="12"/>
      <c r="AO1562" s="12"/>
      <c r="AP1562" s="12"/>
      <c r="AQ1562" s="12"/>
      <c r="AR1562" s="12"/>
      <c r="AS1562" s="12"/>
      <c r="AT1562" s="12"/>
      <c r="AU1562" s="12"/>
      <c r="AV1562" s="12"/>
    </row>
    <row r="1563"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  <c r="AM1563" s="12"/>
      <c r="AN1563" s="12"/>
      <c r="AO1563" s="12"/>
      <c r="AP1563" s="12"/>
      <c r="AQ1563" s="12"/>
      <c r="AR1563" s="12"/>
      <c r="AS1563" s="12"/>
      <c r="AT1563" s="12"/>
      <c r="AU1563" s="12"/>
      <c r="AV1563" s="12"/>
    </row>
    <row r="1564"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  <c r="AM1564" s="12"/>
      <c r="AN1564" s="12"/>
      <c r="AO1564" s="12"/>
      <c r="AP1564" s="12"/>
      <c r="AQ1564" s="12"/>
      <c r="AR1564" s="12"/>
      <c r="AS1564" s="12"/>
      <c r="AT1564" s="12"/>
      <c r="AU1564" s="12"/>
      <c r="AV1564" s="12"/>
    </row>
    <row r="1565"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  <c r="AM1565" s="12"/>
      <c r="AN1565" s="12"/>
      <c r="AO1565" s="12"/>
      <c r="AP1565" s="12"/>
      <c r="AQ1565" s="12"/>
      <c r="AR1565" s="12"/>
      <c r="AS1565" s="12"/>
      <c r="AT1565" s="12"/>
      <c r="AU1565" s="12"/>
      <c r="AV1565" s="12"/>
    </row>
    <row r="1566"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  <c r="AM1566" s="12"/>
      <c r="AN1566" s="12"/>
      <c r="AO1566" s="12"/>
      <c r="AP1566" s="12"/>
      <c r="AQ1566" s="12"/>
      <c r="AR1566" s="12"/>
      <c r="AS1566" s="12"/>
      <c r="AT1566" s="12"/>
      <c r="AU1566" s="12"/>
      <c r="AV1566" s="12"/>
    </row>
    <row r="1567"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  <c r="AM1567" s="12"/>
      <c r="AN1567" s="12"/>
      <c r="AO1567" s="12"/>
      <c r="AP1567" s="12"/>
      <c r="AQ1567" s="12"/>
      <c r="AR1567" s="12"/>
      <c r="AS1567" s="12"/>
      <c r="AT1567" s="12"/>
      <c r="AU1567" s="12"/>
      <c r="AV1567" s="12"/>
    </row>
    <row r="1568"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  <c r="AM1568" s="12"/>
      <c r="AN1568" s="12"/>
      <c r="AO1568" s="12"/>
      <c r="AP1568" s="12"/>
      <c r="AQ1568" s="12"/>
      <c r="AR1568" s="12"/>
      <c r="AS1568" s="12"/>
      <c r="AT1568" s="12"/>
      <c r="AU1568" s="12"/>
      <c r="AV1568" s="12"/>
    </row>
    <row r="1569"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  <c r="AM1569" s="12"/>
      <c r="AN1569" s="12"/>
      <c r="AO1569" s="12"/>
      <c r="AP1569" s="12"/>
      <c r="AQ1569" s="12"/>
      <c r="AR1569" s="12"/>
      <c r="AS1569" s="12"/>
      <c r="AT1569" s="12"/>
      <c r="AU1569" s="12"/>
      <c r="AV1569" s="12"/>
    </row>
    <row r="1570"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  <c r="AM1570" s="12"/>
      <c r="AN1570" s="12"/>
      <c r="AO1570" s="12"/>
      <c r="AP1570" s="12"/>
      <c r="AQ1570" s="12"/>
      <c r="AR1570" s="12"/>
      <c r="AS1570" s="12"/>
      <c r="AT1570" s="12"/>
      <c r="AU1570" s="12"/>
      <c r="AV1570" s="12"/>
    </row>
    <row r="1571"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  <c r="AM1571" s="12"/>
      <c r="AN1571" s="12"/>
      <c r="AO1571" s="12"/>
      <c r="AP1571" s="12"/>
      <c r="AQ1571" s="12"/>
      <c r="AR1571" s="12"/>
      <c r="AS1571" s="12"/>
      <c r="AT1571" s="12"/>
      <c r="AU1571" s="12"/>
      <c r="AV1571" s="12"/>
    </row>
    <row r="1572"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  <c r="AM1572" s="12"/>
      <c r="AN1572" s="12"/>
      <c r="AO1572" s="12"/>
      <c r="AP1572" s="12"/>
      <c r="AQ1572" s="12"/>
      <c r="AR1572" s="12"/>
      <c r="AS1572" s="12"/>
      <c r="AT1572" s="12"/>
      <c r="AU1572" s="12"/>
      <c r="AV1572" s="12"/>
    </row>
    <row r="1573"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  <c r="AM1573" s="12"/>
      <c r="AN1573" s="12"/>
      <c r="AO1573" s="12"/>
      <c r="AP1573" s="12"/>
      <c r="AQ1573" s="12"/>
      <c r="AR1573" s="12"/>
      <c r="AS1573" s="12"/>
      <c r="AT1573" s="12"/>
      <c r="AU1573" s="12"/>
      <c r="AV1573" s="12"/>
    </row>
    <row r="1574"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  <c r="AM1574" s="12"/>
      <c r="AN1574" s="12"/>
      <c r="AO1574" s="12"/>
      <c r="AP1574" s="12"/>
      <c r="AQ1574" s="12"/>
      <c r="AR1574" s="12"/>
      <c r="AS1574" s="12"/>
      <c r="AT1574" s="12"/>
      <c r="AU1574" s="12"/>
      <c r="AV1574" s="12"/>
    </row>
    <row r="1575"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  <c r="AM1575" s="12"/>
      <c r="AN1575" s="12"/>
      <c r="AO1575" s="12"/>
      <c r="AP1575" s="12"/>
      <c r="AQ1575" s="12"/>
      <c r="AR1575" s="12"/>
      <c r="AS1575" s="12"/>
      <c r="AT1575" s="12"/>
      <c r="AU1575" s="12"/>
      <c r="AV1575" s="12"/>
    </row>
    <row r="1576"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  <c r="AM1576" s="12"/>
      <c r="AN1576" s="12"/>
      <c r="AO1576" s="12"/>
      <c r="AP1576" s="12"/>
      <c r="AQ1576" s="12"/>
      <c r="AR1576" s="12"/>
      <c r="AS1576" s="12"/>
      <c r="AT1576" s="12"/>
      <c r="AU1576" s="12"/>
      <c r="AV1576" s="12"/>
    </row>
    <row r="1577"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  <c r="AM1577" s="12"/>
      <c r="AN1577" s="12"/>
      <c r="AO1577" s="12"/>
      <c r="AP1577" s="12"/>
      <c r="AQ1577" s="12"/>
      <c r="AR1577" s="12"/>
      <c r="AS1577" s="12"/>
      <c r="AT1577" s="12"/>
      <c r="AU1577" s="12"/>
      <c r="AV1577" s="12"/>
    </row>
    <row r="1578"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  <c r="AM1578" s="12"/>
      <c r="AN1578" s="12"/>
      <c r="AO1578" s="12"/>
      <c r="AP1578" s="12"/>
      <c r="AQ1578" s="12"/>
      <c r="AR1578" s="12"/>
      <c r="AS1578" s="12"/>
      <c r="AT1578" s="12"/>
      <c r="AU1578" s="12"/>
      <c r="AV1578" s="12"/>
    </row>
    <row r="1579"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  <c r="AM1579" s="12"/>
      <c r="AN1579" s="12"/>
      <c r="AO1579" s="12"/>
      <c r="AP1579" s="12"/>
      <c r="AQ1579" s="12"/>
      <c r="AR1579" s="12"/>
      <c r="AS1579" s="12"/>
      <c r="AT1579" s="12"/>
      <c r="AU1579" s="12"/>
      <c r="AV1579" s="12"/>
    </row>
    <row r="1580"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  <c r="AM1580" s="12"/>
      <c r="AN1580" s="12"/>
      <c r="AO1580" s="12"/>
      <c r="AP1580" s="12"/>
      <c r="AQ1580" s="12"/>
      <c r="AR1580" s="12"/>
      <c r="AS1580" s="12"/>
      <c r="AT1580" s="12"/>
      <c r="AU1580" s="12"/>
      <c r="AV1580" s="12"/>
    </row>
    <row r="1581"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  <c r="AM1581" s="12"/>
      <c r="AN1581" s="12"/>
      <c r="AO1581" s="12"/>
      <c r="AP1581" s="12"/>
      <c r="AQ1581" s="12"/>
      <c r="AR1581" s="12"/>
      <c r="AS1581" s="12"/>
      <c r="AT1581" s="12"/>
      <c r="AU1581" s="12"/>
      <c r="AV1581" s="12"/>
    </row>
    <row r="1582"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  <c r="AM1582" s="12"/>
      <c r="AN1582" s="12"/>
      <c r="AO1582" s="12"/>
      <c r="AP1582" s="12"/>
      <c r="AQ1582" s="12"/>
      <c r="AR1582" s="12"/>
      <c r="AS1582" s="12"/>
      <c r="AT1582" s="12"/>
      <c r="AU1582" s="12"/>
      <c r="AV1582" s="12"/>
    </row>
    <row r="1583"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  <c r="AM1583" s="12"/>
      <c r="AN1583" s="12"/>
      <c r="AO1583" s="12"/>
      <c r="AP1583" s="12"/>
      <c r="AQ1583" s="12"/>
      <c r="AR1583" s="12"/>
      <c r="AS1583" s="12"/>
      <c r="AT1583" s="12"/>
      <c r="AU1583" s="12"/>
      <c r="AV1583" s="12"/>
    </row>
    <row r="1584"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  <c r="AM1584" s="12"/>
      <c r="AN1584" s="12"/>
      <c r="AO1584" s="12"/>
      <c r="AP1584" s="12"/>
      <c r="AQ1584" s="12"/>
      <c r="AR1584" s="12"/>
      <c r="AS1584" s="12"/>
      <c r="AT1584" s="12"/>
      <c r="AU1584" s="12"/>
      <c r="AV1584" s="12"/>
    </row>
    <row r="1585"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  <c r="AM1585" s="12"/>
      <c r="AN1585" s="12"/>
      <c r="AO1585" s="12"/>
      <c r="AP1585" s="12"/>
      <c r="AQ1585" s="12"/>
      <c r="AR1585" s="12"/>
      <c r="AS1585" s="12"/>
      <c r="AT1585" s="12"/>
      <c r="AU1585" s="12"/>
      <c r="AV1585" s="12"/>
    </row>
    <row r="1586"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  <c r="AM1586" s="12"/>
      <c r="AN1586" s="12"/>
      <c r="AO1586" s="12"/>
      <c r="AP1586" s="12"/>
      <c r="AQ1586" s="12"/>
      <c r="AR1586" s="12"/>
      <c r="AS1586" s="12"/>
      <c r="AT1586" s="12"/>
      <c r="AU1586" s="12"/>
      <c r="AV1586" s="12"/>
    </row>
    <row r="1587"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  <c r="AM1587" s="12"/>
      <c r="AN1587" s="12"/>
      <c r="AO1587" s="12"/>
      <c r="AP1587" s="12"/>
      <c r="AQ1587" s="12"/>
      <c r="AR1587" s="12"/>
      <c r="AS1587" s="12"/>
      <c r="AT1587" s="12"/>
      <c r="AU1587" s="12"/>
      <c r="AV1587" s="12"/>
    </row>
    <row r="1588"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  <c r="AM1588" s="12"/>
      <c r="AN1588" s="12"/>
      <c r="AO1588" s="12"/>
      <c r="AP1588" s="12"/>
      <c r="AQ1588" s="12"/>
      <c r="AR1588" s="12"/>
      <c r="AS1588" s="12"/>
      <c r="AT1588" s="12"/>
      <c r="AU1588" s="12"/>
      <c r="AV1588" s="12"/>
    </row>
    <row r="1589"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  <c r="AM1589" s="12"/>
      <c r="AN1589" s="12"/>
      <c r="AO1589" s="12"/>
      <c r="AP1589" s="12"/>
      <c r="AQ1589" s="12"/>
      <c r="AR1589" s="12"/>
      <c r="AS1589" s="12"/>
      <c r="AT1589" s="12"/>
      <c r="AU1589" s="12"/>
      <c r="AV1589" s="12"/>
    </row>
    <row r="1590"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  <c r="AM1590" s="12"/>
      <c r="AN1590" s="12"/>
      <c r="AO1590" s="12"/>
      <c r="AP1590" s="12"/>
      <c r="AQ1590" s="12"/>
      <c r="AR1590" s="12"/>
      <c r="AS1590" s="12"/>
      <c r="AT1590" s="12"/>
      <c r="AU1590" s="12"/>
      <c r="AV1590" s="12"/>
    </row>
    <row r="1591"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  <c r="AM1591" s="12"/>
      <c r="AN1591" s="12"/>
      <c r="AO1591" s="12"/>
      <c r="AP1591" s="12"/>
      <c r="AQ1591" s="12"/>
      <c r="AR1591" s="12"/>
      <c r="AS1591" s="12"/>
      <c r="AT1591" s="12"/>
      <c r="AU1591" s="12"/>
      <c r="AV1591" s="12"/>
    </row>
    <row r="1592"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  <c r="AM1592" s="12"/>
      <c r="AN1592" s="12"/>
      <c r="AO1592" s="12"/>
      <c r="AP1592" s="12"/>
      <c r="AQ1592" s="12"/>
      <c r="AR1592" s="12"/>
      <c r="AS1592" s="12"/>
      <c r="AT1592" s="12"/>
      <c r="AU1592" s="12"/>
      <c r="AV1592" s="12"/>
    </row>
    <row r="1593"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  <c r="AM1593" s="12"/>
      <c r="AN1593" s="12"/>
      <c r="AO1593" s="12"/>
      <c r="AP1593" s="12"/>
      <c r="AQ1593" s="12"/>
      <c r="AR1593" s="12"/>
      <c r="AS1593" s="12"/>
      <c r="AT1593" s="12"/>
      <c r="AU1593" s="12"/>
      <c r="AV1593" s="12"/>
    </row>
    <row r="1594"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  <c r="AM1594" s="12"/>
      <c r="AN1594" s="12"/>
      <c r="AO1594" s="12"/>
      <c r="AP1594" s="12"/>
      <c r="AQ1594" s="12"/>
      <c r="AR1594" s="12"/>
      <c r="AS1594" s="12"/>
      <c r="AT1594" s="12"/>
      <c r="AU1594" s="12"/>
      <c r="AV1594" s="12"/>
    </row>
    <row r="1595"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  <c r="AM1595" s="12"/>
      <c r="AN1595" s="12"/>
      <c r="AO1595" s="12"/>
      <c r="AP1595" s="12"/>
      <c r="AQ1595" s="12"/>
      <c r="AR1595" s="12"/>
      <c r="AS1595" s="12"/>
      <c r="AT1595" s="12"/>
      <c r="AU1595" s="12"/>
      <c r="AV1595" s="12"/>
    </row>
    <row r="1596"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  <c r="AM1596" s="12"/>
      <c r="AN1596" s="12"/>
      <c r="AO1596" s="12"/>
      <c r="AP1596" s="12"/>
      <c r="AQ1596" s="12"/>
      <c r="AR1596" s="12"/>
      <c r="AS1596" s="12"/>
      <c r="AT1596" s="12"/>
      <c r="AU1596" s="12"/>
      <c r="AV1596" s="12"/>
    </row>
    <row r="1597"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  <c r="AM1597" s="12"/>
      <c r="AN1597" s="12"/>
      <c r="AO1597" s="12"/>
      <c r="AP1597" s="12"/>
      <c r="AQ1597" s="12"/>
      <c r="AR1597" s="12"/>
      <c r="AS1597" s="12"/>
      <c r="AT1597" s="12"/>
      <c r="AU1597" s="12"/>
      <c r="AV1597" s="12"/>
    </row>
    <row r="1598"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  <c r="AM1598" s="12"/>
      <c r="AN1598" s="12"/>
      <c r="AO1598" s="12"/>
      <c r="AP1598" s="12"/>
      <c r="AQ1598" s="12"/>
      <c r="AR1598" s="12"/>
      <c r="AS1598" s="12"/>
      <c r="AT1598" s="12"/>
      <c r="AU1598" s="12"/>
      <c r="AV1598" s="12"/>
    </row>
    <row r="1599"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  <c r="AM1599" s="12"/>
      <c r="AN1599" s="12"/>
      <c r="AO1599" s="12"/>
      <c r="AP1599" s="12"/>
      <c r="AQ1599" s="12"/>
      <c r="AR1599" s="12"/>
      <c r="AS1599" s="12"/>
      <c r="AT1599" s="12"/>
      <c r="AU1599" s="12"/>
      <c r="AV1599" s="12"/>
    </row>
    <row r="1600"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  <c r="AM1600" s="12"/>
      <c r="AN1600" s="12"/>
      <c r="AO1600" s="12"/>
      <c r="AP1600" s="12"/>
      <c r="AQ1600" s="12"/>
      <c r="AR1600" s="12"/>
      <c r="AS1600" s="12"/>
      <c r="AT1600" s="12"/>
      <c r="AU1600" s="12"/>
      <c r="AV1600" s="12"/>
    </row>
    <row r="1601"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  <c r="AM1601" s="12"/>
      <c r="AN1601" s="12"/>
      <c r="AO1601" s="12"/>
      <c r="AP1601" s="12"/>
      <c r="AQ1601" s="12"/>
      <c r="AR1601" s="12"/>
      <c r="AS1601" s="12"/>
      <c r="AT1601" s="12"/>
      <c r="AU1601" s="12"/>
      <c r="AV1601" s="12"/>
    </row>
    <row r="1602"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  <c r="AM1602" s="12"/>
      <c r="AN1602" s="12"/>
      <c r="AO1602" s="12"/>
      <c r="AP1602" s="12"/>
      <c r="AQ1602" s="12"/>
      <c r="AR1602" s="12"/>
      <c r="AS1602" s="12"/>
      <c r="AT1602" s="12"/>
      <c r="AU1602" s="12"/>
      <c r="AV1602" s="12"/>
    </row>
    <row r="1603"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  <c r="AM1603" s="12"/>
      <c r="AN1603" s="12"/>
      <c r="AO1603" s="12"/>
      <c r="AP1603" s="12"/>
      <c r="AQ1603" s="12"/>
      <c r="AR1603" s="12"/>
      <c r="AS1603" s="12"/>
      <c r="AT1603" s="12"/>
      <c r="AU1603" s="12"/>
      <c r="AV1603" s="12"/>
    </row>
    <row r="1604"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  <c r="AM1604" s="12"/>
      <c r="AN1604" s="12"/>
      <c r="AO1604" s="12"/>
      <c r="AP1604" s="12"/>
      <c r="AQ1604" s="12"/>
      <c r="AR1604" s="12"/>
      <c r="AS1604" s="12"/>
      <c r="AT1604" s="12"/>
      <c r="AU1604" s="12"/>
      <c r="AV1604" s="12"/>
    </row>
    <row r="1605"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  <c r="AM1605" s="12"/>
      <c r="AN1605" s="12"/>
      <c r="AO1605" s="12"/>
      <c r="AP1605" s="12"/>
      <c r="AQ1605" s="12"/>
      <c r="AR1605" s="12"/>
      <c r="AS1605" s="12"/>
      <c r="AT1605" s="12"/>
      <c r="AU1605" s="12"/>
      <c r="AV1605" s="12"/>
    </row>
    <row r="1606"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</row>
    <row r="1607"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</row>
    <row r="1608"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</row>
    <row r="1609"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</row>
    <row r="1610"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</row>
    <row r="1611"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</row>
    <row r="1612"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</row>
    <row r="1613"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</row>
    <row r="1614"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</row>
    <row r="1615"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</row>
    <row r="1616"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</row>
    <row r="1617"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</row>
    <row r="1618"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</row>
    <row r="1619"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</row>
    <row r="1620"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</row>
    <row r="1621"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</row>
    <row r="1622"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</row>
    <row r="1623"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</row>
    <row r="1624"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</row>
    <row r="1625"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</row>
    <row r="1626"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</row>
    <row r="1627"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</row>
    <row r="1628"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</row>
    <row r="1629"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</row>
    <row r="1630"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</row>
    <row r="1631"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</row>
    <row r="1632"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</row>
    <row r="1633"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</row>
    <row r="1634"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</row>
    <row r="1635"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  <c r="AM1635" s="12"/>
      <c r="AN1635" s="12"/>
      <c r="AO1635" s="12"/>
      <c r="AP1635" s="12"/>
      <c r="AQ1635" s="12"/>
      <c r="AR1635" s="12"/>
      <c r="AS1635" s="12"/>
      <c r="AT1635" s="12"/>
      <c r="AU1635" s="12"/>
      <c r="AV1635" s="12"/>
    </row>
    <row r="1636"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  <c r="AM1636" s="12"/>
      <c r="AN1636" s="12"/>
      <c r="AO1636" s="12"/>
      <c r="AP1636" s="12"/>
      <c r="AQ1636" s="12"/>
      <c r="AR1636" s="12"/>
      <c r="AS1636" s="12"/>
      <c r="AT1636" s="12"/>
      <c r="AU1636" s="12"/>
      <c r="AV1636" s="12"/>
    </row>
    <row r="1637"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</row>
    <row r="1638"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</row>
    <row r="1639"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</row>
    <row r="1640"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</row>
    <row r="1641"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</row>
    <row r="1642"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</row>
    <row r="1643"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</row>
    <row r="1644"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</row>
    <row r="1645"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</row>
    <row r="1646"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</row>
    <row r="1647"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</row>
    <row r="1648"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</row>
    <row r="1649"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  <c r="AM1649" s="12"/>
      <c r="AN1649" s="12"/>
      <c r="AO1649" s="12"/>
      <c r="AP1649" s="12"/>
      <c r="AQ1649" s="12"/>
      <c r="AR1649" s="12"/>
      <c r="AS1649" s="12"/>
      <c r="AT1649" s="12"/>
      <c r="AU1649" s="12"/>
      <c r="AV1649" s="12"/>
    </row>
    <row r="1650"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  <c r="AM1650" s="12"/>
      <c r="AN1650" s="12"/>
      <c r="AO1650" s="12"/>
      <c r="AP1650" s="12"/>
      <c r="AQ1650" s="12"/>
      <c r="AR1650" s="12"/>
      <c r="AS1650" s="12"/>
      <c r="AT1650" s="12"/>
      <c r="AU1650" s="12"/>
      <c r="AV1650" s="12"/>
    </row>
    <row r="1651"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</row>
    <row r="1652"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</row>
    <row r="1653"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</row>
    <row r="1654"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</row>
    <row r="1655"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</row>
    <row r="1656"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</row>
    <row r="1657"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</row>
    <row r="1658"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</row>
    <row r="1659"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</row>
    <row r="1660"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</row>
    <row r="1661"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</row>
    <row r="1662"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</row>
    <row r="1663"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</row>
    <row r="1664"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  <c r="AM1664" s="12"/>
      <c r="AN1664" s="12"/>
      <c r="AO1664" s="12"/>
      <c r="AP1664" s="12"/>
      <c r="AQ1664" s="12"/>
      <c r="AR1664" s="12"/>
      <c r="AS1664" s="12"/>
      <c r="AT1664" s="12"/>
      <c r="AU1664" s="12"/>
      <c r="AV1664" s="12"/>
    </row>
    <row r="1665"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  <c r="AM1665" s="12"/>
      <c r="AN1665" s="12"/>
      <c r="AO1665" s="12"/>
      <c r="AP1665" s="12"/>
      <c r="AQ1665" s="12"/>
      <c r="AR1665" s="12"/>
      <c r="AS1665" s="12"/>
      <c r="AT1665" s="12"/>
      <c r="AU1665" s="12"/>
      <c r="AV1665" s="12"/>
    </row>
    <row r="1666"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</row>
    <row r="1667"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</row>
    <row r="1668"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</row>
    <row r="1669"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</row>
    <row r="1670"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</row>
    <row r="1671"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</row>
    <row r="1672"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</row>
    <row r="1673"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</row>
    <row r="1674"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</row>
    <row r="1675"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</row>
    <row r="1676"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  <c r="AM1676" s="12"/>
      <c r="AN1676" s="12"/>
      <c r="AO1676" s="12"/>
      <c r="AP1676" s="12"/>
      <c r="AQ1676" s="12"/>
      <c r="AR1676" s="12"/>
      <c r="AS1676" s="12"/>
      <c r="AT1676" s="12"/>
      <c r="AU1676" s="12"/>
      <c r="AV1676" s="12"/>
    </row>
    <row r="1677"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</row>
    <row r="1678"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  <c r="AM1678" s="12"/>
      <c r="AN1678" s="12"/>
      <c r="AO1678" s="12"/>
      <c r="AP1678" s="12"/>
      <c r="AQ1678" s="12"/>
      <c r="AR1678" s="12"/>
      <c r="AS1678" s="12"/>
      <c r="AT1678" s="12"/>
      <c r="AU1678" s="12"/>
      <c r="AV1678" s="12"/>
    </row>
    <row r="1679"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  <c r="AM1679" s="12"/>
      <c r="AN1679" s="12"/>
      <c r="AO1679" s="12"/>
      <c r="AP1679" s="12"/>
      <c r="AQ1679" s="12"/>
      <c r="AR1679" s="12"/>
      <c r="AS1679" s="12"/>
      <c r="AT1679" s="12"/>
      <c r="AU1679" s="12"/>
      <c r="AV1679" s="12"/>
    </row>
    <row r="1680"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  <c r="AM1680" s="12"/>
      <c r="AN1680" s="12"/>
      <c r="AO1680" s="12"/>
      <c r="AP1680" s="12"/>
      <c r="AQ1680" s="12"/>
      <c r="AR1680" s="12"/>
      <c r="AS1680" s="12"/>
      <c r="AT1680" s="12"/>
      <c r="AU1680" s="12"/>
      <c r="AV1680" s="12"/>
    </row>
    <row r="1681"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  <c r="AM1681" s="12"/>
      <c r="AN1681" s="12"/>
      <c r="AO1681" s="12"/>
      <c r="AP1681" s="12"/>
      <c r="AQ1681" s="12"/>
      <c r="AR1681" s="12"/>
      <c r="AS1681" s="12"/>
      <c r="AT1681" s="12"/>
      <c r="AU1681" s="12"/>
      <c r="AV1681" s="12"/>
    </row>
    <row r="1682"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  <c r="AM1682" s="12"/>
      <c r="AN1682" s="12"/>
      <c r="AO1682" s="12"/>
      <c r="AP1682" s="12"/>
      <c r="AQ1682" s="12"/>
      <c r="AR1682" s="12"/>
      <c r="AS1682" s="12"/>
      <c r="AT1682" s="12"/>
      <c r="AU1682" s="12"/>
      <c r="AV1682" s="12"/>
    </row>
    <row r="1683"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  <c r="AM1683" s="12"/>
      <c r="AN1683" s="12"/>
      <c r="AO1683" s="12"/>
      <c r="AP1683" s="12"/>
      <c r="AQ1683" s="12"/>
      <c r="AR1683" s="12"/>
      <c r="AS1683" s="12"/>
      <c r="AT1683" s="12"/>
      <c r="AU1683" s="12"/>
      <c r="AV1683" s="12"/>
    </row>
    <row r="1684"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</row>
    <row r="1685"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</row>
    <row r="1686"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</row>
    <row r="1687"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</row>
    <row r="1688"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</row>
    <row r="1689"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</row>
    <row r="1690"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</row>
    <row r="1691"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</row>
    <row r="1692"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</row>
    <row r="1693"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</row>
    <row r="1694"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</row>
    <row r="1695"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</row>
    <row r="1696"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  <c r="AM1696" s="12"/>
      <c r="AN1696" s="12"/>
      <c r="AO1696" s="12"/>
      <c r="AP1696" s="12"/>
      <c r="AQ1696" s="12"/>
      <c r="AR1696" s="12"/>
      <c r="AS1696" s="12"/>
      <c r="AT1696" s="12"/>
      <c r="AU1696" s="12"/>
      <c r="AV1696" s="12"/>
    </row>
    <row r="1697"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  <c r="AM1697" s="12"/>
      <c r="AN1697" s="12"/>
      <c r="AO1697" s="12"/>
      <c r="AP1697" s="12"/>
      <c r="AQ1697" s="12"/>
      <c r="AR1697" s="12"/>
      <c r="AS1697" s="12"/>
      <c r="AT1697" s="12"/>
      <c r="AU1697" s="12"/>
      <c r="AV1697" s="12"/>
    </row>
    <row r="1698"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</row>
    <row r="1699"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</row>
    <row r="1700"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</row>
    <row r="1701"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  <c r="AM1701" s="12"/>
      <c r="AN1701" s="12"/>
      <c r="AO1701" s="12"/>
      <c r="AP1701" s="12"/>
      <c r="AQ1701" s="12"/>
      <c r="AR1701" s="12"/>
      <c r="AS1701" s="12"/>
      <c r="AT1701" s="12"/>
      <c r="AU1701" s="12"/>
      <c r="AV1701" s="12"/>
    </row>
    <row r="1702"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  <c r="AM1702" s="12"/>
      <c r="AN1702" s="12"/>
      <c r="AO1702" s="12"/>
      <c r="AP1702" s="12"/>
      <c r="AQ1702" s="12"/>
      <c r="AR1702" s="12"/>
      <c r="AS1702" s="12"/>
      <c r="AT1702" s="12"/>
      <c r="AU1702" s="12"/>
      <c r="AV1702" s="12"/>
    </row>
    <row r="1703"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  <c r="AM1703" s="12"/>
      <c r="AN1703" s="12"/>
      <c r="AO1703" s="12"/>
      <c r="AP1703" s="12"/>
      <c r="AQ1703" s="12"/>
      <c r="AR1703" s="12"/>
      <c r="AS1703" s="12"/>
      <c r="AT1703" s="12"/>
      <c r="AU1703" s="12"/>
      <c r="AV1703" s="12"/>
    </row>
    <row r="1704"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  <c r="AM1704" s="12"/>
      <c r="AN1704" s="12"/>
      <c r="AO1704" s="12"/>
      <c r="AP1704" s="12"/>
      <c r="AQ1704" s="12"/>
      <c r="AR1704" s="12"/>
      <c r="AS1704" s="12"/>
      <c r="AT1704" s="12"/>
      <c r="AU1704" s="12"/>
      <c r="AV1704" s="12"/>
    </row>
    <row r="1705"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  <c r="AM1705" s="12"/>
      <c r="AN1705" s="12"/>
      <c r="AO1705" s="12"/>
      <c r="AP1705" s="12"/>
      <c r="AQ1705" s="12"/>
      <c r="AR1705" s="12"/>
      <c r="AS1705" s="12"/>
      <c r="AT1705" s="12"/>
      <c r="AU1705" s="12"/>
      <c r="AV1705" s="12"/>
    </row>
    <row r="1706"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  <c r="AC1706" s="12"/>
      <c r="AD1706" s="12"/>
      <c r="AE1706" s="12"/>
      <c r="AF1706" s="12"/>
      <c r="AG1706" s="12"/>
      <c r="AH1706" s="12"/>
      <c r="AI1706" s="12"/>
      <c r="AJ1706" s="12"/>
      <c r="AK1706" s="12"/>
      <c r="AL1706" s="12"/>
      <c r="AM1706" s="12"/>
      <c r="AN1706" s="12"/>
      <c r="AO1706" s="12"/>
      <c r="AP1706" s="12"/>
      <c r="AQ1706" s="12"/>
      <c r="AR1706" s="12"/>
      <c r="AS1706" s="12"/>
      <c r="AT1706" s="12"/>
      <c r="AU1706" s="12"/>
      <c r="AV1706" s="12"/>
    </row>
    <row r="1707"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  <c r="AC1707" s="12"/>
      <c r="AD1707" s="12"/>
      <c r="AE1707" s="12"/>
      <c r="AF1707" s="12"/>
      <c r="AG1707" s="12"/>
      <c r="AH1707" s="12"/>
      <c r="AI1707" s="12"/>
      <c r="AJ1707" s="12"/>
      <c r="AK1707" s="12"/>
      <c r="AL1707" s="12"/>
      <c r="AM1707" s="12"/>
      <c r="AN1707" s="12"/>
      <c r="AO1707" s="12"/>
      <c r="AP1707" s="12"/>
      <c r="AQ1707" s="12"/>
      <c r="AR1707" s="12"/>
      <c r="AS1707" s="12"/>
      <c r="AT1707" s="12"/>
      <c r="AU1707" s="12"/>
      <c r="AV1707" s="12"/>
    </row>
    <row r="1708"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  <c r="AC1708" s="12"/>
      <c r="AD1708" s="12"/>
      <c r="AE1708" s="12"/>
      <c r="AF1708" s="12"/>
      <c r="AG1708" s="12"/>
      <c r="AH1708" s="12"/>
      <c r="AI1708" s="12"/>
      <c r="AJ1708" s="12"/>
      <c r="AK1708" s="12"/>
      <c r="AL1708" s="12"/>
      <c r="AM1708" s="12"/>
      <c r="AN1708" s="12"/>
      <c r="AO1708" s="12"/>
      <c r="AP1708" s="12"/>
      <c r="AQ1708" s="12"/>
      <c r="AR1708" s="12"/>
      <c r="AS1708" s="12"/>
      <c r="AT1708" s="12"/>
      <c r="AU1708" s="12"/>
      <c r="AV1708" s="12"/>
    </row>
    <row r="1709"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  <c r="AC1709" s="12"/>
      <c r="AD1709" s="12"/>
      <c r="AE1709" s="12"/>
      <c r="AF1709" s="12"/>
      <c r="AG1709" s="12"/>
      <c r="AH1709" s="12"/>
      <c r="AI1709" s="12"/>
      <c r="AJ1709" s="12"/>
      <c r="AK1709" s="12"/>
      <c r="AL1709" s="12"/>
      <c r="AM1709" s="12"/>
      <c r="AN1709" s="12"/>
      <c r="AO1709" s="12"/>
      <c r="AP1709" s="12"/>
      <c r="AQ1709" s="12"/>
      <c r="AR1709" s="12"/>
      <c r="AS1709" s="12"/>
      <c r="AT1709" s="12"/>
      <c r="AU1709" s="12"/>
      <c r="AV1709" s="12"/>
    </row>
    <row r="1710"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  <c r="AM1710" s="12"/>
      <c r="AN1710" s="12"/>
      <c r="AO1710" s="12"/>
      <c r="AP1710" s="12"/>
      <c r="AQ1710" s="12"/>
      <c r="AR1710" s="12"/>
      <c r="AS1710" s="12"/>
      <c r="AT1710" s="12"/>
      <c r="AU1710" s="12"/>
      <c r="AV1710" s="12"/>
    </row>
    <row r="1711"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  <c r="AM1711" s="12"/>
      <c r="AN1711" s="12"/>
      <c r="AO1711" s="12"/>
      <c r="AP1711" s="12"/>
      <c r="AQ1711" s="12"/>
      <c r="AR1711" s="12"/>
      <c r="AS1711" s="12"/>
      <c r="AT1711" s="12"/>
      <c r="AU1711" s="12"/>
      <c r="AV1711" s="12"/>
    </row>
    <row r="1712"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  <c r="AM1712" s="12"/>
      <c r="AN1712" s="12"/>
      <c r="AO1712" s="12"/>
      <c r="AP1712" s="12"/>
      <c r="AQ1712" s="12"/>
      <c r="AR1712" s="12"/>
      <c r="AS1712" s="12"/>
      <c r="AT1712" s="12"/>
      <c r="AU1712" s="12"/>
      <c r="AV1712" s="12"/>
    </row>
    <row r="1713"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  <c r="AM1713" s="12"/>
      <c r="AN1713" s="12"/>
      <c r="AO1713" s="12"/>
      <c r="AP1713" s="12"/>
      <c r="AQ1713" s="12"/>
      <c r="AR1713" s="12"/>
      <c r="AS1713" s="12"/>
      <c r="AT1713" s="12"/>
      <c r="AU1713" s="12"/>
      <c r="AV1713" s="12"/>
    </row>
    <row r="1714"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  <c r="AM1714" s="12"/>
      <c r="AN1714" s="12"/>
      <c r="AO1714" s="12"/>
      <c r="AP1714" s="12"/>
      <c r="AQ1714" s="12"/>
      <c r="AR1714" s="12"/>
      <c r="AS1714" s="12"/>
      <c r="AT1714" s="12"/>
      <c r="AU1714" s="12"/>
      <c r="AV1714" s="12"/>
    </row>
    <row r="1715"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  <c r="AM1715" s="12"/>
      <c r="AN1715" s="12"/>
      <c r="AO1715" s="12"/>
      <c r="AP1715" s="12"/>
      <c r="AQ1715" s="12"/>
      <c r="AR1715" s="12"/>
      <c r="AS1715" s="12"/>
      <c r="AT1715" s="12"/>
      <c r="AU1715" s="12"/>
      <c r="AV1715" s="12"/>
    </row>
    <row r="1716"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  <c r="AM1716" s="12"/>
      <c r="AN1716" s="12"/>
      <c r="AO1716" s="12"/>
      <c r="AP1716" s="12"/>
      <c r="AQ1716" s="12"/>
      <c r="AR1716" s="12"/>
      <c r="AS1716" s="12"/>
      <c r="AT1716" s="12"/>
      <c r="AU1716" s="12"/>
      <c r="AV1716" s="12"/>
    </row>
    <row r="1717"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  <c r="AM1717" s="12"/>
      <c r="AN1717" s="12"/>
      <c r="AO1717" s="12"/>
      <c r="AP1717" s="12"/>
      <c r="AQ1717" s="12"/>
      <c r="AR1717" s="12"/>
      <c r="AS1717" s="12"/>
      <c r="AT1717" s="12"/>
      <c r="AU1717" s="12"/>
      <c r="AV1717" s="12"/>
    </row>
    <row r="1718"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  <c r="AM1718" s="12"/>
      <c r="AN1718" s="12"/>
      <c r="AO1718" s="12"/>
      <c r="AP1718" s="12"/>
      <c r="AQ1718" s="12"/>
      <c r="AR1718" s="12"/>
      <c r="AS1718" s="12"/>
      <c r="AT1718" s="12"/>
      <c r="AU1718" s="12"/>
      <c r="AV1718" s="12"/>
    </row>
    <row r="1719"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  <c r="AM1719" s="12"/>
      <c r="AN1719" s="12"/>
      <c r="AO1719" s="12"/>
      <c r="AP1719" s="12"/>
      <c r="AQ1719" s="12"/>
      <c r="AR1719" s="12"/>
      <c r="AS1719" s="12"/>
      <c r="AT1719" s="12"/>
      <c r="AU1719" s="12"/>
      <c r="AV1719" s="12"/>
    </row>
    <row r="1720"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  <c r="AC1720" s="12"/>
      <c r="AD1720" s="12"/>
      <c r="AE1720" s="12"/>
      <c r="AF1720" s="12"/>
      <c r="AG1720" s="12"/>
      <c r="AH1720" s="12"/>
      <c r="AI1720" s="12"/>
      <c r="AJ1720" s="12"/>
      <c r="AK1720" s="12"/>
      <c r="AL1720" s="12"/>
      <c r="AM1720" s="12"/>
      <c r="AN1720" s="12"/>
      <c r="AO1720" s="12"/>
      <c r="AP1720" s="12"/>
      <c r="AQ1720" s="12"/>
      <c r="AR1720" s="12"/>
      <c r="AS1720" s="12"/>
      <c r="AT1720" s="12"/>
      <c r="AU1720" s="12"/>
      <c r="AV1720" s="12"/>
    </row>
    <row r="1721"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  <c r="AM1721" s="12"/>
      <c r="AN1721" s="12"/>
      <c r="AO1721" s="12"/>
      <c r="AP1721" s="12"/>
      <c r="AQ1721" s="12"/>
      <c r="AR1721" s="12"/>
      <c r="AS1721" s="12"/>
      <c r="AT1721" s="12"/>
      <c r="AU1721" s="12"/>
      <c r="AV1721" s="12"/>
    </row>
    <row r="1722"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2"/>
      <c r="AD1722" s="12"/>
      <c r="AE1722" s="12"/>
      <c r="AF1722" s="12"/>
      <c r="AG1722" s="12"/>
      <c r="AH1722" s="12"/>
      <c r="AI1722" s="12"/>
      <c r="AJ1722" s="12"/>
      <c r="AK1722" s="12"/>
      <c r="AL1722" s="12"/>
      <c r="AM1722" s="12"/>
      <c r="AN1722" s="12"/>
      <c r="AO1722" s="12"/>
      <c r="AP1722" s="12"/>
      <c r="AQ1722" s="12"/>
      <c r="AR1722" s="12"/>
      <c r="AS1722" s="12"/>
      <c r="AT1722" s="12"/>
      <c r="AU1722" s="12"/>
      <c r="AV1722" s="12"/>
    </row>
    <row r="1723"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  <c r="AM1723" s="12"/>
      <c r="AN1723" s="12"/>
      <c r="AO1723" s="12"/>
      <c r="AP1723" s="12"/>
      <c r="AQ1723" s="12"/>
      <c r="AR1723" s="12"/>
      <c r="AS1723" s="12"/>
      <c r="AT1723" s="12"/>
      <c r="AU1723" s="12"/>
      <c r="AV1723" s="12"/>
    </row>
    <row r="1724"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  <c r="AM1724" s="12"/>
      <c r="AN1724" s="12"/>
      <c r="AO1724" s="12"/>
      <c r="AP1724" s="12"/>
      <c r="AQ1724" s="12"/>
      <c r="AR1724" s="12"/>
      <c r="AS1724" s="12"/>
      <c r="AT1724" s="12"/>
      <c r="AU1724" s="12"/>
      <c r="AV1724" s="12"/>
    </row>
    <row r="1725"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  <c r="AM1725" s="12"/>
      <c r="AN1725" s="12"/>
      <c r="AO1725" s="12"/>
      <c r="AP1725" s="12"/>
      <c r="AQ1725" s="12"/>
      <c r="AR1725" s="12"/>
      <c r="AS1725" s="12"/>
      <c r="AT1725" s="12"/>
      <c r="AU1725" s="12"/>
      <c r="AV1725" s="12"/>
    </row>
    <row r="1726"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  <c r="AM1726" s="12"/>
      <c r="AN1726" s="12"/>
      <c r="AO1726" s="12"/>
      <c r="AP1726" s="12"/>
      <c r="AQ1726" s="12"/>
      <c r="AR1726" s="12"/>
      <c r="AS1726" s="12"/>
      <c r="AT1726" s="12"/>
      <c r="AU1726" s="12"/>
      <c r="AV1726" s="12"/>
    </row>
    <row r="1727"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  <c r="AM1727" s="12"/>
      <c r="AN1727" s="12"/>
      <c r="AO1727" s="12"/>
      <c r="AP1727" s="12"/>
      <c r="AQ1727" s="12"/>
      <c r="AR1727" s="12"/>
      <c r="AS1727" s="12"/>
      <c r="AT1727" s="12"/>
      <c r="AU1727" s="12"/>
      <c r="AV1727" s="12"/>
    </row>
    <row r="1728"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  <c r="AM1728" s="12"/>
      <c r="AN1728" s="12"/>
      <c r="AO1728" s="12"/>
      <c r="AP1728" s="12"/>
      <c r="AQ1728" s="12"/>
      <c r="AR1728" s="12"/>
      <c r="AS1728" s="12"/>
      <c r="AT1728" s="12"/>
      <c r="AU1728" s="12"/>
      <c r="AV1728" s="12"/>
    </row>
    <row r="1729"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  <c r="AM1729" s="12"/>
      <c r="AN1729" s="12"/>
      <c r="AO1729" s="12"/>
      <c r="AP1729" s="12"/>
      <c r="AQ1729" s="12"/>
      <c r="AR1729" s="12"/>
      <c r="AS1729" s="12"/>
      <c r="AT1729" s="12"/>
      <c r="AU1729" s="12"/>
      <c r="AV1729" s="12"/>
    </row>
    <row r="1730"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  <c r="AC1730" s="12"/>
      <c r="AD1730" s="12"/>
      <c r="AE1730" s="12"/>
      <c r="AF1730" s="12"/>
      <c r="AG1730" s="12"/>
      <c r="AH1730" s="12"/>
      <c r="AI1730" s="12"/>
      <c r="AJ1730" s="12"/>
      <c r="AK1730" s="12"/>
      <c r="AL1730" s="12"/>
      <c r="AM1730" s="12"/>
      <c r="AN1730" s="12"/>
      <c r="AO1730" s="12"/>
      <c r="AP1730" s="12"/>
      <c r="AQ1730" s="12"/>
      <c r="AR1730" s="12"/>
      <c r="AS1730" s="12"/>
      <c r="AT1730" s="12"/>
      <c r="AU1730" s="12"/>
      <c r="AV1730" s="12"/>
    </row>
    <row r="1731"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  <c r="AM1731" s="12"/>
      <c r="AN1731" s="12"/>
      <c r="AO1731" s="12"/>
      <c r="AP1731" s="12"/>
      <c r="AQ1731" s="12"/>
      <c r="AR1731" s="12"/>
      <c r="AS1731" s="12"/>
      <c r="AT1731" s="12"/>
      <c r="AU1731" s="12"/>
      <c r="AV1731" s="12"/>
    </row>
    <row r="1732"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  <c r="AM1732" s="12"/>
      <c r="AN1732" s="12"/>
      <c r="AO1732" s="12"/>
      <c r="AP1732" s="12"/>
      <c r="AQ1732" s="12"/>
      <c r="AR1732" s="12"/>
      <c r="AS1732" s="12"/>
      <c r="AT1732" s="12"/>
      <c r="AU1732" s="12"/>
      <c r="AV1732" s="12"/>
    </row>
    <row r="1733"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  <c r="AM1733" s="12"/>
      <c r="AN1733" s="12"/>
      <c r="AO1733" s="12"/>
      <c r="AP1733" s="12"/>
      <c r="AQ1733" s="12"/>
      <c r="AR1733" s="12"/>
      <c r="AS1733" s="12"/>
      <c r="AT1733" s="12"/>
      <c r="AU1733" s="12"/>
      <c r="AV1733" s="12"/>
    </row>
    <row r="1734"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  <c r="AM1734" s="12"/>
      <c r="AN1734" s="12"/>
      <c r="AO1734" s="12"/>
      <c r="AP1734" s="12"/>
      <c r="AQ1734" s="12"/>
      <c r="AR1734" s="12"/>
      <c r="AS1734" s="12"/>
      <c r="AT1734" s="12"/>
      <c r="AU1734" s="12"/>
      <c r="AV1734" s="12"/>
    </row>
    <row r="1735"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  <c r="AM1735" s="12"/>
      <c r="AN1735" s="12"/>
      <c r="AO1735" s="12"/>
      <c r="AP1735" s="12"/>
      <c r="AQ1735" s="12"/>
      <c r="AR1735" s="12"/>
      <c r="AS1735" s="12"/>
      <c r="AT1735" s="12"/>
      <c r="AU1735" s="12"/>
      <c r="AV1735" s="12"/>
    </row>
    <row r="1736"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  <c r="AC1736" s="12"/>
      <c r="AD1736" s="12"/>
      <c r="AE1736" s="12"/>
      <c r="AF1736" s="12"/>
      <c r="AG1736" s="12"/>
      <c r="AH1736" s="12"/>
      <c r="AI1736" s="12"/>
      <c r="AJ1736" s="12"/>
      <c r="AK1736" s="12"/>
      <c r="AL1736" s="12"/>
      <c r="AM1736" s="12"/>
      <c r="AN1736" s="12"/>
      <c r="AO1736" s="12"/>
      <c r="AP1736" s="12"/>
      <c r="AQ1736" s="12"/>
      <c r="AR1736" s="12"/>
      <c r="AS1736" s="12"/>
      <c r="AT1736" s="12"/>
      <c r="AU1736" s="12"/>
      <c r="AV1736" s="12"/>
    </row>
    <row r="1737"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  <c r="AC1737" s="12"/>
      <c r="AD1737" s="12"/>
      <c r="AE1737" s="12"/>
      <c r="AF1737" s="12"/>
      <c r="AG1737" s="12"/>
      <c r="AH1737" s="12"/>
      <c r="AI1737" s="12"/>
      <c r="AJ1737" s="12"/>
      <c r="AK1737" s="12"/>
      <c r="AL1737" s="12"/>
      <c r="AM1737" s="12"/>
      <c r="AN1737" s="12"/>
      <c r="AO1737" s="12"/>
      <c r="AP1737" s="12"/>
      <c r="AQ1737" s="12"/>
      <c r="AR1737" s="12"/>
      <c r="AS1737" s="12"/>
      <c r="AT1737" s="12"/>
      <c r="AU1737" s="12"/>
      <c r="AV1737" s="12"/>
    </row>
    <row r="1738"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  <c r="AC1738" s="12"/>
      <c r="AD1738" s="12"/>
      <c r="AE1738" s="12"/>
      <c r="AF1738" s="12"/>
      <c r="AG1738" s="12"/>
      <c r="AH1738" s="12"/>
      <c r="AI1738" s="12"/>
      <c r="AJ1738" s="12"/>
      <c r="AK1738" s="12"/>
      <c r="AL1738" s="12"/>
      <c r="AM1738" s="12"/>
      <c r="AN1738" s="12"/>
      <c r="AO1738" s="12"/>
      <c r="AP1738" s="12"/>
      <c r="AQ1738" s="12"/>
      <c r="AR1738" s="12"/>
      <c r="AS1738" s="12"/>
      <c r="AT1738" s="12"/>
      <c r="AU1738" s="12"/>
      <c r="AV1738" s="12"/>
    </row>
    <row r="1739"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  <c r="AM1739" s="12"/>
      <c r="AN1739" s="12"/>
      <c r="AO1739" s="12"/>
      <c r="AP1739" s="12"/>
      <c r="AQ1739" s="12"/>
      <c r="AR1739" s="12"/>
      <c r="AS1739" s="12"/>
      <c r="AT1739" s="12"/>
      <c r="AU1739" s="12"/>
      <c r="AV1739" s="12"/>
    </row>
    <row r="1740"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  <c r="AM1740" s="12"/>
      <c r="AN1740" s="12"/>
      <c r="AO1740" s="12"/>
      <c r="AP1740" s="12"/>
      <c r="AQ1740" s="12"/>
      <c r="AR1740" s="12"/>
      <c r="AS1740" s="12"/>
      <c r="AT1740" s="12"/>
      <c r="AU1740" s="12"/>
      <c r="AV1740" s="12"/>
    </row>
    <row r="1741"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  <c r="AM1741" s="12"/>
      <c r="AN1741" s="12"/>
      <c r="AO1741" s="12"/>
      <c r="AP1741" s="12"/>
      <c r="AQ1741" s="12"/>
      <c r="AR1741" s="12"/>
      <c r="AS1741" s="12"/>
      <c r="AT1741" s="12"/>
      <c r="AU1741" s="12"/>
      <c r="AV1741" s="12"/>
    </row>
    <row r="1742"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  <c r="AM1742" s="12"/>
      <c r="AN1742" s="12"/>
      <c r="AO1742" s="12"/>
      <c r="AP1742" s="12"/>
      <c r="AQ1742" s="12"/>
      <c r="AR1742" s="12"/>
      <c r="AS1742" s="12"/>
      <c r="AT1742" s="12"/>
      <c r="AU1742" s="12"/>
      <c r="AV1742" s="12"/>
    </row>
    <row r="1743"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  <c r="AM1743" s="12"/>
      <c r="AN1743" s="12"/>
      <c r="AO1743" s="12"/>
      <c r="AP1743" s="12"/>
      <c r="AQ1743" s="12"/>
      <c r="AR1743" s="12"/>
      <c r="AS1743" s="12"/>
      <c r="AT1743" s="12"/>
      <c r="AU1743" s="12"/>
      <c r="AV1743" s="12"/>
    </row>
    <row r="1744"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  <c r="AM1744" s="12"/>
      <c r="AN1744" s="12"/>
      <c r="AO1744" s="12"/>
      <c r="AP1744" s="12"/>
      <c r="AQ1744" s="12"/>
      <c r="AR1744" s="12"/>
      <c r="AS1744" s="12"/>
      <c r="AT1744" s="12"/>
      <c r="AU1744" s="12"/>
      <c r="AV1744" s="12"/>
    </row>
    <row r="1745"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  <c r="AM1745" s="12"/>
      <c r="AN1745" s="12"/>
      <c r="AO1745" s="12"/>
      <c r="AP1745" s="12"/>
      <c r="AQ1745" s="12"/>
      <c r="AR1745" s="12"/>
      <c r="AS1745" s="12"/>
      <c r="AT1745" s="12"/>
      <c r="AU1745" s="12"/>
      <c r="AV1745" s="12"/>
    </row>
    <row r="1746"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  <c r="AM1746" s="12"/>
      <c r="AN1746" s="12"/>
      <c r="AO1746" s="12"/>
      <c r="AP1746" s="12"/>
      <c r="AQ1746" s="12"/>
      <c r="AR1746" s="12"/>
      <c r="AS1746" s="12"/>
      <c r="AT1746" s="12"/>
      <c r="AU1746" s="12"/>
      <c r="AV1746" s="12"/>
    </row>
    <row r="1747"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  <c r="AM1747" s="12"/>
      <c r="AN1747" s="12"/>
      <c r="AO1747" s="12"/>
      <c r="AP1747" s="12"/>
      <c r="AQ1747" s="12"/>
      <c r="AR1747" s="12"/>
      <c r="AS1747" s="12"/>
      <c r="AT1747" s="12"/>
      <c r="AU1747" s="12"/>
      <c r="AV1747" s="12"/>
    </row>
    <row r="1748"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  <c r="AM1748" s="12"/>
      <c r="AN1748" s="12"/>
      <c r="AO1748" s="12"/>
      <c r="AP1748" s="12"/>
      <c r="AQ1748" s="12"/>
      <c r="AR1748" s="12"/>
      <c r="AS1748" s="12"/>
      <c r="AT1748" s="12"/>
      <c r="AU1748" s="12"/>
      <c r="AV1748" s="12"/>
    </row>
    <row r="1749"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  <c r="AM1749" s="12"/>
      <c r="AN1749" s="12"/>
      <c r="AO1749" s="12"/>
      <c r="AP1749" s="12"/>
      <c r="AQ1749" s="12"/>
      <c r="AR1749" s="12"/>
      <c r="AS1749" s="12"/>
      <c r="AT1749" s="12"/>
      <c r="AU1749" s="12"/>
      <c r="AV1749" s="12"/>
    </row>
    <row r="1750"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  <c r="AM1750" s="12"/>
      <c r="AN1750" s="12"/>
      <c r="AO1750" s="12"/>
      <c r="AP1750" s="12"/>
      <c r="AQ1750" s="12"/>
      <c r="AR1750" s="12"/>
      <c r="AS1750" s="12"/>
      <c r="AT1750" s="12"/>
      <c r="AU1750" s="12"/>
      <c r="AV1750" s="12"/>
    </row>
    <row r="1751"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  <c r="AM1751" s="12"/>
      <c r="AN1751" s="12"/>
      <c r="AO1751" s="12"/>
      <c r="AP1751" s="12"/>
      <c r="AQ1751" s="12"/>
      <c r="AR1751" s="12"/>
      <c r="AS1751" s="12"/>
      <c r="AT1751" s="12"/>
      <c r="AU1751" s="12"/>
      <c r="AV1751" s="12"/>
    </row>
    <row r="1752"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  <c r="AM1752" s="12"/>
      <c r="AN1752" s="12"/>
      <c r="AO1752" s="12"/>
      <c r="AP1752" s="12"/>
      <c r="AQ1752" s="12"/>
      <c r="AR1752" s="12"/>
      <c r="AS1752" s="12"/>
      <c r="AT1752" s="12"/>
      <c r="AU1752" s="12"/>
      <c r="AV1752" s="12"/>
    </row>
    <row r="1753"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  <c r="AM1753" s="12"/>
      <c r="AN1753" s="12"/>
      <c r="AO1753" s="12"/>
      <c r="AP1753" s="12"/>
      <c r="AQ1753" s="12"/>
      <c r="AR1753" s="12"/>
      <c r="AS1753" s="12"/>
      <c r="AT1753" s="12"/>
      <c r="AU1753" s="12"/>
      <c r="AV1753" s="12"/>
    </row>
    <row r="1754"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  <c r="AM1754" s="12"/>
      <c r="AN1754" s="12"/>
      <c r="AO1754" s="12"/>
      <c r="AP1754" s="12"/>
      <c r="AQ1754" s="12"/>
      <c r="AR1754" s="12"/>
      <c r="AS1754" s="12"/>
      <c r="AT1754" s="12"/>
      <c r="AU1754" s="12"/>
      <c r="AV1754" s="12"/>
    </row>
    <row r="1755"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  <c r="AM1755" s="12"/>
      <c r="AN1755" s="12"/>
      <c r="AO1755" s="12"/>
      <c r="AP1755" s="12"/>
      <c r="AQ1755" s="12"/>
      <c r="AR1755" s="12"/>
      <c r="AS1755" s="12"/>
      <c r="AT1755" s="12"/>
      <c r="AU1755" s="12"/>
      <c r="AV1755" s="12"/>
    </row>
    <row r="1756"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  <c r="AM1756" s="12"/>
      <c r="AN1756" s="12"/>
      <c r="AO1756" s="12"/>
      <c r="AP1756" s="12"/>
      <c r="AQ1756" s="12"/>
      <c r="AR1756" s="12"/>
      <c r="AS1756" s="12"/>
      <c r="AT1756" s="12"/>
      <c r="AU1756" s="12"/>
      <c r="AV1756" s="12"/>
    </row>
    <row r="1757"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  <c r="AM1757" s="12"/>
      <c r="AN1757" s="12"/>
      <c r="AO1757" s="12"/>
      <c r="AP1757" s="12"/>
      <c r="AQ1757" s="12"/>
      <c r="AR1757" s="12"/>
      <c r="AS1757" s="12"/>
      <c r="AT1757" s="12"/>
      <c r="AU1757" s="12"/>
      <c r="AV1757" s="12"/>
    </row>
    <row r="1758"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  <c r="AM1758" s="12"/>
      <c r="AN1758" s="12"/>
      <c r="AO1758" s="12"/>
      <c r="AP1758" s="12"/>
      <c r="AQ1758" s="12"/>
      <c r="AR1758" s="12"/>
      <c r="AS1758" s="12"/>
      <c r="AT1758" s="12"/>
      <c r="AU1758" s="12"/>
      <c r="AV1758" s="12"/>
    </row>
    <row r="1759"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  <c r="AM1759" s="12"/>
      <c r="AN1759" s="12"/>
      <c r="AO1759" s="12"/>
      <c r="AP1759" s="12"/>
      <c r="AQ1759" s="12"/>
      <c r="AR1759" s="12"/>
      <c r="AS1759" s="12"/>
      <c r="AT1759" s="12"/>
      <c r="AU1759" s="12"/>
      <c r="AV1759" s="12"/>
    </row>
    <row r="1760"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  <c r="AM1760" s="12"/>
      <c r="AN1760" s="12"/>
      <c r="AO1760" s="12"/>
      <c r="AP1760" s="12"/>
      <c r="AQ1760" s="12"/>
      <c r="AR1760" s="12"/>
      <c r="AS1760" s="12"/>
      <c r="AT1760" s="12"/>
      <c r="AU1760" s="12"/>
      <c r="AV1760" s="12"/>
    </row>
    <row r="1761"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  <c r="AM1761" s="12"/>
      <c r="AN1761" s="12"/>
      <c r="AO1761" s="12"/>
      <c r="AP1761" s="12"/>
      <c r="AQ1761" s="12"/>
      <c r="AR1761" s="12"/>
      <c r="AS1761" s="12"/>
      <c r="AT1761" s="12"/>
      <c r="AU1761" s="12"/>
      <c r="AV1761" s="12"/>
    </row>
    <row r="1762"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  <c r="AM1762" s="12"/>
      <c r="AN1762" s="12"/>
      <c r="AO1762" s="12"/>
      <c r="AP1762" s="12"/>
      <c r="AQ1762" s="12"/>
      <c r="AR1762" s="12"/>
      <c r="AS1762" s="12"/>
      <c r="AT1762" s="12"/>
      <c r="AU1762" s="12"/>
      <c r="AV1762" s="12"/>
    </row>
    <row r="1763"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  <c r="AM1763" s="12"/>
      <c r="AN1763" s="12"/>
      <c r="AO1763" s="12"/>
      <c r="AP1763" s="12"/>
      <c r="AQ1763" s="12"/>
      <c r="AR1763" s="12"/>
      <c r="AS1763" s="12"/>
      <c r="AT1763" s="12"/>
      <c r="AU1763" s="12"/>
      <c r="AV1763" s="12"/>
    </row>
    <row r="1764"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  <c r="AM1764" s="12"/>
      <c r="AN1764" s="12"/>
      <c r="AO1764" s="12"/>
      <c r="AP1764" s="12"/>
      <c r="AQ1764" s="12"/>
      <c r="AR1764" s="12"/>
      <c r="AS1764" s="12"/>
      <c r="AT1764" s="12"/>
      <c r="AU1764" s="12"/>
      <c r="AV1764" s="12"/>
    </row>
    <row r="1765"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  <c r="AM1765" s="12"/>
      <c r="AN1765" s="12"/>
      <c r="AO1765" s="12"/>
      <c r="AP1765" s="12"/>
      <c r="AQ1765" s="12"/>
      <c r="AR1765" s="12"/>
      <c r="AS1765" s="12"/>
      <c r="AT1765" s="12"/>
      <c r="AU1765" s="12"/>
      <c r="AV1765" s="12"/>
    </row>
    <row r="1766"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  <c r="AM1766" s="12"/>
      <c r="AN1766" s="12"/>
      <c r="AO1766" s="12"/>
      <c r="AP1766" s="12"/>
      <c r="AQ1766" s="12"/>
      <c r="AR1766" s="12"/>
      <c r="AS1766" s="12"/>
      <c r="AT1766" s="12"/>
      <c r="AU1766" s="12"/>
      <c r="AV1766" s="12"/>
    </row>
    <row r="1767"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  <c r="AM1767" s="12"/>
      <c r="AN1767" s="12"/>
      <c r="AO1767" s="12"/>
      <c r="AP1767" s="12"/>
      <c r="AQ1767" s="12"/>
      <c r="AR1767" s="12"/>
      <c r="AS1767" s="12"/>
      <c r="AT1767" s="12"/>
      <c r="AU1767" s="12"/>
      <c r="AV1767" s="12"/>
    </row>
    <row r="1768"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  <c r="AM1768" s="12"/>
      <c r="AN1768" s="12"/>
      <c r="AO1768" s="12"/>
      <c r="AP1768" s="12"/>
      <c r="AQ1768" s="12"/>
      <c r="AR1768" s="12"/>
      <c r="AS1768" s="12"/>
      <c r="AT1768" s="12"/>
      <c r="AU1768" s="12"/>
      <c r="AV1768" s="12"/>
    </row>
    <row r="1769"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  <c r="AM1769" s="12"/>
      <c r="AN1769" s="12"/>
      <c r="AO1769" s="12"/>
      <c r="AP1769" s="12"/>
      <c r="AQ1769" s="12"/>
      <c r="AR1769" s="12"/>
      <c r="AS1769" s="12"/>
      <c r="AT1769" s="12"/>
      <c r="AU1769" s="12"/>
      <c r="AV1769" s="12"/>
    </row>
    <row r="1770"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  <c r="AM1770" s="12"/>
      <c r="AN1770" s="12"/>
      <c r="AO1770" s="12"/>
      <c r="AP1770" s="12"/>
      <c r="AQ1770" s="12"/>
      <c r="AR1770" s="12"/>
      <c r="AS1770" s="12"/>
      <c r="AT1770" s="12"/>
      <c r="AU1770" s="12"/>
      <c r="AV1770" s="12"/>
    </row>
    <row r="1771"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  <c r="AM1771" s="12"/>
      <c r="AN1771" s="12"/>
      <c r="AO1771" s="12"/>
      <c r="AP1771" s="12"/>
      <c r="AQ1771" s="12"/>
      <c r="AR1771" s="12"/>
      <c r="AS1771" s="12"/>
      <c r="AT1771" s="12"/>
      <c r="AU1771" s="12"/>
      <c r="AV1771" s="12"/>
    </row>
    <row r="1772"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  <c r="AM1772" s="12"/>
      <c r="AN1772" s="12"/>
      <c r="AO1772" s="12"/>
      <c r="AP1772" s="12"/>
      <c r="AQ1772" s="12"/>
      <c r="AR1772" s="12"/>
      <c r="AS1772" s="12"/>
      <c r="AT1772" s="12"/>
      <c r="AU1772" s="12"/>
      <c r="AV1772" s="12"/>
    </row>
    <row r="1773"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  <c r="AM1773" s="12"/>
      <c r="AN1773" s="12"/>
      <c r="AO1773" s="12"/>
      <c r="AP1773" s="12"/>
      <c r="AQ1773" s="12"/>
      <c r="AR1773" s="12"/>
      <c r="AS1773" s="12"/>
      <c r="AT1773" s="12"/>
      <c r="AU1773" s="12"/>
      <c r="AV1773" s="12"/>
    </row>
    <row r="1774"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  <c r="AM1774" s="12"/>
      <c r="AN1774" s="12"/>
      <c r="AO1774" s="12"/>
      <c r="AP1774" s="12"/>
      <c r="AQ1774" s="12"/>
      <c r="AR1774" s="12"/>
      <c r="AS1774" s="12"/>
      <c r="AT1774" s="12"/>
      <c r="AU1774" s="12"/>
      <c r="AV1774" s="12"/>
    </row>
    <row r="1775"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  <c r="AM1775" s="12"/>
      <c r="AN1775" s="12"/>
      <c r="AO1775" s="12"/>
      <c r="AP1775" s="12"/>
      <c r="AQ1775" s="12"/>
      <c r="AR1775" s="12"/>
      <c r="AS1775" s="12"/>
      <c r="AT1775" s="12"/>
      <c r="AU1775" s="12"/>
      <c r="AV1775" s="12"/>
    </row>
    <row r="1776"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  <c r="AM1776" s="12"/>
      <c r="AN1776" s="12"/>
      <c r="AO1776" s="12"/>
      <c r="AP1776" s="12"/>
      <c r="AQ1776" s="12"/>
      <c r="AR1776" s="12"/>
      <c r="AS1776" s="12"/>
      <c r="AT1776" s="12"/>
      <c r="AU1776" s="12"/>
      <c r="AV1776" s="12"/>
    </row>
    <row r="1777"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  <c r="AM1777" s="12"/>
      <c r="AN1777" s="12"/>
      <c r="AO1777" s="12"/>
      <c r="AP1777" s="12"/>
      <c r="AQ1777" s="12"/>
      <c r="AR1777" s="12"/>
      <c r="AS1777" s="12"/>
      <c r="AT1777" s="12"/>
      <c r="AU1777" s="12"/>
      <c r="AV1777" s="12"/>
    </row>
    <row r="1778"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  <c r="AM1778" s="12"/>
      <c r="AN1778" s="12"/>
      <c r="AO1778" s="12"/>
      <c r="AP1778" s="12"/>
      <c r="AQ1778" s="12"/>
      <c r="AR1778" s="12"/>
      <c r="AS1778" s="12"/>
      <c r="AT1778" s="12"/>
      <c r="AU1778" s="12"/>
      <c r="AV1778" s="12"/>
    </row>
    <row r="1779"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  <c r="AM1779" s="12"/>
      <c r="AN1779" s="12"/>
      <c r="AO1779" s="12"/>
      <c r="AP1779" s="12"/>
      <c r="AQ1779" s="12"/>
      <c r="AR1779" s="12"/>
      <c r="AS1779" s="12"/>
      <c r="AT1779" s="12"/>
      <c r="AU1779" s="12"/>
      <c r="AV1779" s="12"/>
    </row>
    <row r="1780"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  <c r="AM1780" s="12"/>
      <c r="AN1780" s="12"/>
      <c r="AO1780" s="12"/>
      <c r="AP1780" s="12"/>
      <c r="AQ1780" s="12"/>
      <c r="AR1780" s="12"/>
      <c r="AS1780" s="12"/>
      <c r="AT1780" s="12"/>
      <c r="AU1780" s="12"/>
      <c r="AV1780" s="12"/>
    </row>
    <row r="1781"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  <c r="AM1781" s="12"/>
      <c r="AN1781" s="12"/>
      <c r="AO1781" s="12"/>
      <c r="AP1781" s="12"/>
      <c r="AQ1781" s="12"/>
      <c r="AR1781" s="12"/>
      <c r="AS1781" s="12"/>
      <c r="AT1781" s="12"/>
      <c r="AU1781" s="12"/>
      <c r="AV1781" s="12"/>
    </row>
    <row r="1782"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  <c r="AM1782" s="12"/>
      <c r="AN1782" s="12"/>
      <c r="AO1782" s="12"/>
      <c r="AP1782" s="12"/>
      <c r="AQ1782" s="12"/>
      <c r="AR1782" s="12"/>
      <c r="AS1782" s="12"/>
      <c r="AT1782" s="12"/>
      <c r="AU1782" s="12"/>
      <c r="AV1782" s="12"/>
    </row>
    <row r="1783"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  <c r="AM1783" s="12"/>
      <c r="AN1783" s="12"/>
      <c r="AO1783" s="12"/>
      <c r="AP1783" s="12"/>
      <c r="AQ1783" s="12"/>
      <c r="AR1783" s="12"/>
      <c r="AS1783" s="12"/>
      <c r="AT1783" s="12"/>
      <c r="AU1783" s="12"/>
      <c r="AV1783" s="12"/>
    </row>
    <row r="1784"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  <c r="AM1784" s="12"/>
      <c r="AN1784" s="12"/>
      <c r="AO1784" s="12"/>
      <c r="AP1784" s="12"/>
      <c r="AQ1784" s="12"/>
      <c r="AR1784" s="12"/>
      <c r="AS1784" s="12"/>
      <c r="AT1784" s="12"/>
      <c r="AU1784" s="12"/>
      <c r="AV1784" s="12"/>
    </row>
    <row r="1785"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  <c r="AM1785" s="12"/>
      <c r="AN1785" s="12"/>
      <c r="AO1785" s="12"/>
      <c r="AP1785" s="12"/>
      <c r="AQ1785" s="12"/>
      <c r="AR1785" s="12"/>
      <c r="AS1785" s="12"/>
      <c r="AT1785" s="12"/>
      <c r="AU1785" s="12"/>
      <c r="AV1785" s="12"/>
    </row>
    <row r="1786"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  <c r="AM1786" s="12"/>
      <c r="AN1786" s="12"/>
      <c r="AO1786" s="12"/>
      <c r="AP1786" s="12"/>
      <c r="AQ1786" s="12"/>
      <c r="AR1786" s="12"/>
      <c r="AS1786" s="12"/>
      <c r="AT1786" s="12"/>
      <c r="AU1786" s="12"/>
      <c r="AV1786" s="12"/>
    </row>
    <row r="1787"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  <c r="AM1787" s="12"/>
      <c r="AN1787" s="12"/>
      <c r="AO1787" s="12"/>
      <c r="AP1787" s="12"/>
      <c r="AQ1787" s="12"/>
      <c r="AR1787" s="12"/>
      <c r="AS1787" s="12"/>
      <c r="AT1787" s="12"/>
      <c r="AU1787" s="12"/>
      <c r="AV1787" s="12"/>
    </row>
    <row r="1788"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  <c r="AM1788" s="12"/>
      <c r="AN1788" s="12"/>
      <c r="AO1788" s="12"/>
      <c r="AP1788" s="12"/>
      <c r="AQ1788" s="12"/>
      <c r="AR1788" s="12"/>
      <c r="AS1788" s="12"/>
      <c r="AT1788" s="12"/>
      <c r="AU1788" s="12"/>
      <c r="AV1788" s="12"/>
    </row>
    <row r="1789"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  <c r="AM1789" s="12"/>
      <c r="AN1789" s="12"/>
      <c r="AO1789" s="12"/>
      <c r="AP1789" s="12"/>
      <c r="AQ1789" s="12"/>
      <c r="AR1789" s="12"/>
      <c r="AS1789" s="12"/>
      <c r="AT1789" s="12"/>
      <c r="AU1789" s="12"/>
      <c r="AV1789" s="12"/>
    </row>
    <row r="1790"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  <c r="AM1790" s="12"/>
      <c r="AN1790" s="12"/>
      <c r="AO1790" s="12"/>
      <c r="AP1790" s="12"/>
      <c r="AQ1790" s="12"/>
      <c r="AR1790" s="12"/>
      <c r="AS1790" s="12"/>
      <c r="AT1790" s="12"/>
      <c r="AU1790" s="12"/>
      <c r="AV1790" s="12"/>
    </row>
    <row r="1791"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  <c r="AM1791" s="12"/>
      <c r="AN1791" s="12"/>
      <c r="AO1791" s="12"/>
      <c r="AP1791" s="12"/>
      <c r="AQ1791" s="12"/>
      <c r="AR1791" s="12"/>
      <c r="AS1791" s="12"/>
      <c r="AT1791" s="12"/>
      <c r="AU1791" s="12"/>
      <c r="AV1791" s="12"/>
    </row>
    <row r="1792"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  <c r="AM1792" s="12"/>
      <c r="AN1792" s="12"/>
      <c r="AO1792" s="12"/>
      <c r="AP1792" s="12"/>
      <c r="AQ1792" s="12"/>
      <c r="AR1792" s="12"/>
      <c r="AS1792" s="12"/>
      <c r="AT1792" s="12"/>
      <c r="AU1792" s="12"/>
      <c r="AV1792" s="12"/>
    </row>
    <row r="1793"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  <c r="AM1793" s="12"/>
      <c r="AN1793" s="12"/>
      <c r="AO1793" s="12"/>
      <c r="AP1793" s="12"/>
      <c r="AQ1793" s="12"/>
      <c r="AR1793" s="12"/>
      <c r="AS1793" s="12"/>
      <c r="AT1793" s="12"/>
      <c r="AU1793" s="12"/>
      <c r="AV1793" s="12"/>
    </row>
    <row r="1794"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  <c r="AM1794" s="12"/>
      <c r="AN1794" s="12"/>
      <c r="AO1794" s="12"/>
      <c r="AP1794" s="12"/>
      <c r="AQ1794" s="12"/>
      <c r="AR1794" s="12"/>
      <c r="AS1794" s="12"/>
      <c r="AT1794" s="12"/>
      <c r="AU1794" s="12"/>
      <c r="AV1794" s="12"/>
    </row>
    <row r="1795"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  <c r="AM1795" s="12"/>
      <c r="AN1795" s="12"/>
      <c r="AO1795" s="12"/>
      <c r="AP1795" s="12"/>
      <c r="AQ1795" s="12"/>
      <c r="AR1795" s="12"/>
      <c r="AS1795" s="12"/>
      <c r="AT1795" s="12"/>
      <c r="AU1795" s="12"/>
      <c r="AV1795" s="12"/>
    </row>
    <row r="1796"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  <c r="AM1796" s="12"/>
      <c r="AN1796" s="12"/>
      <c r="AO1796" s="12"/>
      <c r="AP1796" s="12"/>
      <c r="AQ1796" s="12"/>
      <c r="AR1796" s="12"/>
      <c r="AS1796" s="12"/>
      <c r="AT1796" s="12"/>
      <c r="AU1796" s="12"/>
      <c r="AV1796" s="12"/>
    </row>
    <row r="1797"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  <c r="AM1797" s="12"/>
      <c r="AN1797" s="12"/>
      <c r="AO1797" s="12"/>
      <c r="AP1797" s="12"/>
      <c r="AQ1797" s="12"/>
      <c r="AR1797" s="12"/>
      <c r="AS1797" s="12"/>
      <c r="AT1797" s="12"/>
      <c r="AU1797" s="12"/>
      <c r="AV1797" s="12"/>
    </row>
    <row r="1798"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  <c r="AM1798" s="12"/>
      <c r="AN1798" s="12"/>
      <c r="AO1798" s="12"/>
      <c r="AP1798" s="12"/>
      <c r="AQ1798" s="12"/>
      <c r="AR1798" s="12"/>
      <c r="AS1798" s="12"/>
      <c r="AT1798" s="12"/>
      <c r="AU1798" s="12"/>
      <c r="AV1798" s="12"/>
    </row>
    <row r="1799"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  <c r="AC1799" s="12"/>
      <c r="AD1799" s="12"/>
      <c r="AE1799" s="12"/>
      <c r="AF1799" s="12"/>
      <c r="AG1799" s="12"/>
      <c r="AH1799" s="12"/>
      <c r="AI1799" s="12"/>
      <c r="AJ1799" s="12"/>
      <c r="AK1799" s="12"/>
      <c r="AL1799" s="12"/>
      <c r="AM1799" s="12"/>
      <c r="AN1799" s="12"/>
      <c r="AO1799" s="12"/>
      <c r="AP1799" s="12"/>
      <c r="AQ1799" s="12"/>
      <c r="AR1799" s="12"/>
      <c r="AS1799" s="12"/>
      <c r="AT1799" s="12"/>
      <c r="AU1799" s="12"/>
      <c r="AV1799" s="12"/>
    </row>
    <row r="1800"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  <c r="AC1800" s="12"/>
      <c r="AD1800" s="12"/>
      <c r="AE1800" s="12"/>
      <c r="AF1800" s="12"/>
      <c r="AG1800" s="12"/>
      <c r="AH1800" s="12"/>
      <c r="AI1800" s="12"/>
      <c r="AJ1800" s="12"/>
      <c r="AK1800" s="12"/>
      <c r="AL1800" s="12"/>
      <c r="AM1800" s="12"/>
      <c r="AN1800" s="12"/>
      <c r="AO1800" s="12"/>
      <c r="AP1800" s="12"/>
      <c r="AQ1800" s="12"/>
      <c r="AR1800" s="12"/>
      <c r="AS1800" s="12"/>
      <c r="AT1800" s="12"/>
      <c r="AU1800" s="12"/>
      <c r="AV1800" s="12"/>
    </row>
    <row r="1801"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  <c r="AC1801" s="12"/>
      <c r="AD1801" s="12"/>
      <c r="AE1801" s="12"/>
      <c r="AF1801" s="12"/>
      <c r="AG1801" s="12"/>
      <c r="AH1801" s="12"/>
      <c r="AI1801" s="12"/>
      <c r="AJ1801" s="12"/>
      <c r="AK1801" s="12"/>
      <c r="AL1801" s="12"/>
      <c r="AM1801" s="12"/>
      <c r="AN1801" s="12"/>
      <c r="AO1801" s="12"/>
      <c r="AP1801" s="12"/>
      <c r="AQ1801" s="12"/>
      <c r="AR1801" s="12"/>
      <c r="AS1801" s="12"/>
      <c r="AT1801" s="12"/>
      <c r="AU1801" s="12"/>
      <c r="AV1801" s="12"/>
    </row>
    <row r="1802"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  <c r="AC1802" s="12"/>
      <c r="AD1802" s="12"/>
      <c r="AE1802" s="12"/>
      <c r="AF1802" s="12"/>
      <c r="AG1802" s="12"/>
      <c r="AH1802" s="12"/>
      <c r="AI1802" s="12"/>
      <c r="AJ1802" s="12"/>
      <c r="AK1802" s="12"/>
      <c r="AL1802" s="12"/>
      <c r="AM1802" s="12"/>
      <c r="AN1802" s="12"/>
      <c r="AO1802" s="12"/>
      <c r="AP1802" s="12"/>
      <c r="AQ1802" s="12"/>
      <c r="AR1802" s="12"/>
      <c r="AS1802" s="12"/>
      <c r="AT1802" s="12"/>
      <c r="AU1802" s="12"/>
      <c r="AV1802" s="12"/>
    </row>
    <row r="1803"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  <c r="AM1803" s="12"/>
      <c r="AN1803" s="12"/>
      <c r="AO1803" s="12"/>
      <c r="AP1803" s="12"/>
      <c r="AQ1803" s="12"/>
      <c r="AR1803" s="12"/>
      <c r="AS1803" s="12"/>
      <c r="AT1803" s="12"/>
      <c r="AU1803" s="12"/>
      <c r="AV1803" s="12"/>
    </row>
    <row r="1804"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2"/>
      <c r="AD1804" s="12"/>
      <c r="AE1804" s="12"/>
      <c r="AF1804" s="12"/>
      <c r="AG1804" s="12"/>
      <c r="AH1804" s="12"/>
      <c r="AI1804" s="12"/>
      <c r="AJ1804" s="12"/>
      <c r="AK1804" s="12"/>
      <c r="AL1804" s="12"/>
      <c r="AM1804" s="12"/>
      <c r="AN1804" s="12"/>
      <c r="AO1804" s="12"/>
      <c r="AP1804" s="12"/>
      <c r="AQ1804" s="12"/>
      <c r="AR1804" s="12"/>
      <c r="AS1804" s="12"/>
      <c r="AT1804" s="12"/>
      <c r="AU1804" s="12"/>
      <c r="AV1804" s="12"/>
    </row>
    <row r="1805"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  <c r="AC1805" s="12"/>
      <c r="AD1805" s="12"/>
      <c r="AE1805" s="12"/>
      <c r="AF1805" s="12"/>
      <c r="AG1805" s="12"/>
      <c r="AH1805" s="12"/>
      <c r="AI1805" s="12"/>
      <c r="AJ1805" s="12"/>
      <c r="AK1805" s="12"/>
      <c r="AL1805" s="12"/>
      <c r="AM1805" s="12"/>
      <c r="AN1805" s="12"/>
      <c r="AO1805" s="12"/>
      <c r="AP1805" s="12"/>
      <c r="AQ1805" s="12"/>
      <c r="AR1805" s="12"/>
      <c r="AS1805" s="12"/>
      <c r="AT1805" s="12"/>
      <c r="AU1805" s="12"/>
      <c r="AV1805" s="12"/>
    </row>
    <row r="1806"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  <c r="AC1806" s="12"/>
      <c r="AD1806" s="12"/>
      <c r="AE1806" s="12"/>
      <c r="AF1806" s="12"/>
      <c r="AG1806" s="12"/>
      <c r="AH1806" s="12"/>
      <c r="AI1806" s="12"/>
      <c r="AJ1806" s="12"/>
      <c r="AK1806" s="12"/>
      <c r="AL1806" s="12"/>
      <c r="AM1806" s="12"/>
      <c r="AN1806" s="12"/>
      <c r="AO1806" s="12"/>
      <c r="AP1806" s="12"/>
      <c r="AQ1806" s="12"/>
      <c r="AR1806" s="12"/>
      <c r="AS1806" s="12"/>
      <c r="AT1806" s="12"/>
      <c r="AU1806" s="12"/>
      <c r="AV1806" s="12"/>
    </row>
    <row r="1807"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2"/>
      <c r="AE1807" s="12"/>
      <c r="AF1807" s="12"/>
      <c r="AG1807" s="12"/>
      <c r="AH1807" s="12"/>
      <c r="AI1807" s="12"/>
      <c r="AJ1807" s="12"/>
      <c r="AK1807" s="12"/>
      <c r="AL1807" s="12"/>
      <c r="AM1807" s="12"/>
      <c r="AN1807" s="12"/>
      <c r="AO1807" s="12"/>
      <c r="AP1807" s="12"/>
      <c r="AQ1807" s="12"/>
      <c r="AR1807" s="12"/>
      <c r="AS1807" s="12"/>
      <c r="AT1807" s="12"/>
      <c r="AU1807" s="12"/>
      <c r="AV1807" s="12"/>
    </row>
    <row r="1808"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  <c r="AC1808" s="12"/>
      <c r="AD1808" s="12"/>
      <c r="AE1808" s="12"/>
      <c r="AF1808" s="12"/>
      <c r="AG1808" s="12"/>
      <c r="AH1808" s="12"/>
      <c r="AI1808" s="12"/>
      <c r="AJ1808" s="12"/>
      <c r="AK1808" s="12"/>
      <c r="AL1808" s="12"/>
      <c r="AM1808" s="12"/>
      <c r="AN1808" s="12"/>
      <c r="AO1808" s="12"/>
      <c r="AP1808" s="12"/>
      <c r="AQ1808" s="12"/>
      <c r="AR1808" s="12"/>
      <c r="AS1808" s="12"/>
      <c r="AT1808" s="12"/>
      <c r="AU1808" s="12"/>
      <c r="AV1808" s="12"/>
    </row>
    <row r="1809"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2"/>
      <c r="AE1809" s="12"/>
      <c r="AF1809" s="12"/>
      <c r="AG1809" s="12"/>
      <c r="AH1809" s="12"/>
      <c r="AI1809" s="12"/>
      <c r="AJ1809" s="12"/>
      <c r="AK1809" s="12"/>
      <c r="AL1809" s="12"/>
      <c r="AM1809" s="12"/>
      <c r="AN1809" s="12"/>
      <c r="AO1809" s="12"/>
      <c r="AP1809" s="12"/>
      <c r="AQ1809" s="12"/>
      <c r="AR1809" s="12"/>
      <c r="AS1809" s="12"/>
      <c r="AT1809" s="12"/>
      <c r="AU1809" s="12"/>
      <c r="AV1809" s="12"/>
    </row>
    <row r="1810"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  <c r="AC1810" s="12"/>
      <c r="AD1810" s="12"/>
      <c r="AE1810" s="12"/>
      <c r="AF1810" s="12"/>
      <c r="AG1810" s="12"/>
      <c r="AH1810" s="12"/>
      <c r="AI1810" s="12"/>
      <c r="AJ1810" s="12"/>
      <c r="AK1810" s="12"/>
      <c r="AL1810" s="12"/>
      <c r="AM1810" s="12"/>
      <c r="AN1810" s="12"/>
      <c r="AO1810" s="12"/>
      <c r="AP1810" s="12"/>
      <c r="AQ1810" s="12"/>
      <c r="AR1810" s="12"/>
      <c r="AS1810" s="12"/>
      <c r="AT1810" s="12"/>
      <c r="AU1810" s="12"/>
      <c r="AV1810" s="12"/>
    </row>
    <row r="1811"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  <c r="AC1811" s="12"/>
      <c r="AD1811" s="12"/>
      <c r="AE1811" s="12"/>
      <c r="AF1811" s="12"/>
      <c r="AG1811" s="12"/>
      <c r="AH1811" s="12"/>
      <c r="AI1811" s="12"/>
      <c r="AJ1811" s="12"/>
      <c r="AK1811" s="12"/>
      <c r="AL1811" s="12"/>
      <c r="AM1811" s="12"/>
      <c r="AN1811" s="12"/>
      <c r="AO1811" s="12"/>
      <c r="AP1811" s="12"/>
      <c r="AQ1811" s="12"/>
      <c r="AR1811" s="12"/>
      <c r="AS1811" s="12"/>
      <c r="AT1811" s="12"/>
      <c r="AU1811" s="12"/>
      <c r="AV1811" s="12"/>
    </row>
    <row r="1812">
      <c r="S1812" s="12"/>
      <c r="T1812" s="12"/>
      <c r="U1812" s="12"/>
      <c r="V1812" s="12"/>
      <c r="W1812" s="12"/>
      <c r="X1812" s="12"/>
      <c r="Y1812" s="12"/>
      <c r="Z1812" s="12"/>
      <c r="AA1812" s="12"/>
      <c r="AB1812" s="12"/>
      <c r="AC1812" s="12"/>
      <c r="AD1812" s="12"/>
      <c r="AE1812" s="12"/>
      <c r="AF1812" s="12"/>
      <c r="AG1812" s="12"/>
      <c r="AH1812" s="12"/>
      <c r="AI1812" s="12"/>
      <c r="AJ1812" s="12"/>
      <c r="AK1812" s="12"/>
      <c r="AL1812" s="12"/>
      <c r="AM1812" s="12"/>
      <c r="AN1812" s="12"/>
      <c r="AO1812" s="12"/>
      <c r="AP1812" s="12"/>
      <c r="AQ1812" s="12"/>
      <c r="AR1812" s="12"/>
      <c r="AS1812" s="12"/>
      <c r="AT1812" s="12"/>
      <c r="AU1812" s="12"/>
      <c r="AV1812" s="12"/>
    </row>
    <row r="1813"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  <c r="AC1813" s="12"/>
      <c r="AD1813" s="12"/>
      <c r="AE1813" s="12"/>
      <c r="AF1813" s="12"/>
      <c r="AG1813" s="12"/>
      <c r="AH1813" s="12"/>
      <c r="AI1813" s="12"/>
      <c r="AJ1813" s="12"/>
      <c r="AK1813" s="12"/>
      <c r="AL1813" s="12"/>
      <c r="AM1813" s="12"/>
      <c r="AN1813" s="12"/>
      <c r="AO1813" s="12"/>
      <c r="AP1813" s="12"/>
      <c r="AQ1813" s="12"/>
      <c r="AR1813" s="12"/>
      <c r="AS1813" s="12"/>
      <c r="AT1813" s="12"/>
      <c r="AU1813" s="12"/>
      <c r="AV1813" s="12"/>
    </row>
    <row r="1814">
      <c r="S1814" s="12"/>
      <c r="T1814" s="12"/>
      <c r="U1814" s="12"/>
      <c r="V1814" s="12"/>
      <c r="W1814" s="12"/>
      <c r="X1814" s="12"/>
      <c r="Y1814" s="12"/>
      <c r="Z1814" s="12"/>
      <c r="AA1814" s="12"/>
      <c r="AB1814" s="12"/>
      <c r="AC1814" s="12"/>
      <c r="AD1814" s="12"/>
      <c r="AE1814" s="12"/>
      <c r="AF1814" s="12"/>
      <c r="AG1814" s="12"/>
      <c r="AH1814" s="12"/>
      <c r="AI1814" s="12"/>
      <c r="AJ1814" s="12"/>
      <c r="AK1814" s="12"/>
      <c r="AL1814" s="12"/>
      <c r="AM1814" s="12"/>
      <c r="AN1814" s="12"/>
      <c r="AO1814" s="12"/>
      <c r="AP1814" s="12"/>
      <c r="AQ1814" s="12"/>
      <c r="AR1814" s="12"/>
      <c r="AS1814" s="12"/>
      <c r="AT1814" s="12"/>
      <c r="AU1814" s="12"/>
      <c r="AV1814" s="12"/>
    </row>
    <row r="1815"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  <c r="AC1815" s="12"/>
      <c r="AD1815" s="12"/>
      <c r="AE1815" s="12"/>
      <c r="AF1815" s="12"/>
      <c r="AG1815" s="12"/>
      <c r="AH1815" s="12"/>
      <c r="AI1815" s="12"/>
      <c r="AJ1815" s="12"/>
      <c r="AK1815" s="12"/>
      <c r="AL1815" s="12"/>
      <c r="AM1815" s="12"/>
      <c r="AN1815" s="12"/>
      <c r="AO1815" s="12"/>
      <c r="AP1815" s="12"/>
      <c r="AQ1815" s="12"/>
      <c r="AR1815" s="12"/>
      <c r="AS1815" s="12"/>
      <c r="AT1815" s="12"/>
      <c r="AU1815" s="12"/>
      <c r="AV1815" s="12"/>
    </row>
    <row r="1816"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  <c r="AM1816" s="12"/>
      <c r="AN1816" s="12"/>
      <c r="AO1816" s="12"/>
      <c r="AP1816" s="12"/>
      <c r="AQ1816" s="12"/>
      <c r="AR1816" s="12"/>
      <c r="AS1816" s="12"/>
      <c r="AT1816" s="12"/>
      <c r="AU1816" s="12"/>
      <c r="AV1816" s="12"/>
    </row>
    <row r="1817"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  <c r="AC1817" s="12"/>
      <c r="AD1817" s="12"/>
      <c r="AE1817" s="12"/>
      <c r="AF1817" s="12"/>
      <c r="AG1817" s="12"/>
      <c r="AH1817" s="12"/>
      <c r="AI1817" s="12"/>
      <c r="AJ1817" s="12"/>
      <c r="AK1817" s="12"/>
      <c r="AL1817" s="12"/>
      <c r="AM1817" s="12"/>
      <c r="AN1817" s="12"/>
      <c r="AO1817" s="12"/>
      <c r="AP1817" s="12"/>
      <c r="AQ1817" s="12"/>
      <c r="AR1817" s="12"/>
      <c r="AS1817" s="12"/>
      <c r="AT1817" s="12"/>
      <c r="AU1817" s="12"/>
      <c r="AV1817" s="12"/>
    </row>
    <row r="1818"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2"/>
      <c r="AE1818" s="12"/>
      <c r="AF1818" s="12"/>
      <c r="AG1818" s="12"/>
      <c r="AH1818" s="12"/>
      <c r="AI1818" s="12"/>
      <c r="AJ1818" s="12"/>
      <c r="AK1818" s="12"/>
      <c r="AL1818" s="12"/>
      <c r="AM1818" s="12"/>
      <c r="AN1818" s="12"/>
      <c r="AO1818" s="12"/>
      <c r="AP1818" s="12"/>
      <c r="AQ1818" s="12"/>
      <c r="AR1818" s="12"/>
      <c r="AS1818" s="12"/>
      <c r="AT1818" s="12"/>
      <c r="AU1818" s="12"/>
      <c r="AV1818" s="12"/>
    </row>
    <row r="1819"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  <c r="AC1819" s="12"/>
      <c r="AD1819" s="12"/>
      <c r="AE1819" s="12"/>
      <c r="AF1819" s="12"/>
      <c r="AG1819" s="12"/>
      <c r="AH1819" s="12"/>
      <c r="AI1819" s="12"/>
      <c r="AJ1819" s="12"/>
      <c r="AK1819" s="12"/>
      <c r="AL1819" s="12"/>
      <c r="AM1819" s="12"/>
      <c r="AN1819" s="12"/>
      <c r="AO1819" s="12"/>
      <c r="AP1819" s="12"/>
      <c r="AQ1819" s="12"/>
      <c r="AR1819" s="12"/>
      <c r="AS1819" s="12"/>
      <c r="AT1819" s="12"/>
      <c r="AU1819" s="12"/>
      <c r="AV1819" s="12"/>
    </row>
    <row r="1820">
      <c r="S1820" s="12"/>
      <c r="T1820" s="12"/>
      <c r="U1820" s="12"/>
      <c r="V1820" s="12"/>
      <c r="W1820" s="12"/>
      <c r="X1820" s="12"/>
      <c r="Y1820" s="12"/>
      <c r="Z1820" s="12"/>
      <c r="AA1820" s="12"/>
      <c r="AB1820" s="12"/>
      <c r="AC1820" s="12"/>
      <c r="AD1820" s="12"/>
      <c r="AE1820" s="12"/>
      <c r="AF1820" s="12"/>
      <c r="AG1820" s="12"/>
      <c r="AH1820" s="12"/>
      <c r="AI1820" s="12"/>
      <c r="AJ1820" s="12"/>
      <c r="AK1820" s="12"/>
      <c r="AL1820" s="12"/>
      <c r="AM1820" s="12"/>
      <c r="AN1820" s="12"/>
      <c r="AO1820" s="12"/>
      <c r="AP1820" s="12"/>
      <c r="AQ1820" s="12"/>
      <c r="AR1820" s="12"/>
      <c r="AS1820" s="12"/>
      <c r="AT1820" s="12"/>
      <c r="AU1820" s="12"/>
      <c r="AV1820" s="12"/>
    </row>
    <row r="1821">
      <c r="S1821" s="12"/>
      <c r="T1821" s="12"/>
      <c r="U1821" s="12"/>
      <c r="V1821" s="12"/>
      <c r="W1821" s="12"/>
      <c r="X1821" s="12"/>
      <c r="Y1821" s="12"/>
      <c r="Z1821" s="12"/>
      <c r="AA1821" s="12"/>
      <c r="AB1821" s="12"/>
      <c r="AC1821" s="12"/>
      <c r="AD1821" s="12"/>
      <c r="AE1821" s="12"/>
      <c r="AF1821" s="12"/>
      <c r="AG1821" s="12"/>
      <c r="AH1821" s="12"/>
      <c r="AI1821" s="12"/>
      <c r="AJ1821" s="12"/>
      <c r="AK1821" s="12"/>
      <c r="AL1821" s="12"/>
      <c r="AM1821" s="12"/>
      <c r="AN1821" s="12"/>
      <c r="AO1821" s="12"/>
      <c r="AP1821" s="12"/>
      <c r="AQ1821" s="12"/>
      <c r="AR1821" s="12"/>
      <c r="AS1821" s="12"/>
      <c r="AT1821" s="12"/>
      <c r="AU1821" s="12"/>
      <c r="AV1821" s="12"/>
    </row>
    <row r="1822"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  <c r="AC1822" s="12"/>
      <c r="AD1822" s="12"/>
      <c r="AE1822" s="12"/>
      <c r="AF1822" s="12"/>
      <c r="AG1822" s="12"/>
      <c r="AH1822" s="12"/>
      <c r="AI1822" s="12"/>
      <c r="AJ1822" s="12"/>
      <c r="AK1822" s="12"/>
      <c r="AL1822" s="12"/>
      <c r="AM1822" s="12"/>
      <c r="AN1822" s="12"/>
      <c r="AO1822" s="12"/>
      <c r="AP1822" s="12"/>
      <c r="AQ1822" s="12"/>
      <c r="AR1822" s="12"/>
      <c r="AS1822" s="12"/>
      <c r="AT1822" s="12"/>
      <c r="AU1822" s="12"/>
      <c r="AV1822" s="12"/>
    </row>
    <row r="1823">
      <c r="S1823" s="12"/>
      <c r="T1823" s="12"/>
      <c r="U1823" s="12"/>
      <c r="V1823" s="12"/>
      <c r="W1823" s="12"/>
      <c r="X1823" s="12"/>
      <c r="Y1823" s="12"/>
      <c r="Z1823" s="12"/>
      <c r="AA1823" s="12"/>
      <c r="AB1823" s="12"/>
      <c r="AC1823" s="12"/>
      <c r="AD1823" s="12"/>
      <c r="AE1823" s="12"/>
      <c r="AF1823" s="12"/>
      <c r="AG1823" s="12"/>
      <c r="AH1823" s="12"/>
      <c r="AI1823" s="12"/>
      <c r="AJ1823" s="12"/>
      <c r="AK1823" s="12"/>
      <c r="AL1823" s="12"/>
      <c r="AM1823" s="12"/>
      <c r="AN1823" s="12"/>
      <c r="AO1823" s="12"/>
      <c r="AP1823" s="12"/>
      <c r="AQ1823" s="12"/>
      <c r="AR1823" s="12"/>
      <c r="AS1823" s="12"/>
      <c r="AT1823" s="12"/>
      <c r="AU1823" s="12"/>
      <c r="AV1823" s="12"/>
    </row>
    <row r="1824"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  <c r="AC1824" s="12"/>
      <c r="AD1824" s="12"/>
      <c r="AE1824" s="12"/>
      <c r="AF1824" s="12"/>
      <c r="AG1824" s="12"/>
      <c r="AH1824" s="12"/>
      <c r="AI1824" s="12"/>
      <c r="AJ1824" s="12"/>
      <c r="AK1824" s="12"/>
      <c r="AL1824" s="12"/>
      <c r="AM1824" s="12"/>
      <c r="AN1824" s="12"/>
      <c r="AO1824" s="12"/>
      <c r="AP1824" s="12"/>
      <c r="AQ1824" s="12"/>
      <c r="AR1824" s="12"/>
      <c r="AS1824" s="12"/>
      <c r="AT1824" s="12"/>
      <c r="AU1824" s="12"/>
      <c r="AV1824" s="12"/>
    </row>
    <row r="1825"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  <c r="AC1825" s="12"/>
      <c r="AD1825" s="12"/>
      <c r="AE1825" s="12"/>
      <c r="AF1825" s="12"/>
      <c r="AG1825" s="12"/>
      <c r="AH1825" s="12"/>
      <c r="AI1825" s="12"/>
      <c r="AJ1825" s="12"/>
      <c r="AK1825" s="12"/>
      <c r="AL1825" s="12"/>
      <c r="AM1825" s="12"/>
      <c r="AN1825" s="12"/>
      <c r="AO1825" s="12"/>
      <c r="AP1825" s="12"/>
      <c r="AQ1825" s="12"/>
      <c r="AR1825" s="12"/>
      <c r="AS1825" s="12"/>
      <c r="AT1825" s="12"/>
      <c r="AU1825" s="12"/>
      <c r="AV1825" s="12"/>
    </row>
    <row r="1826"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  <c r="AC1826" s="12"/>
      <c r="AD1826" s="12"/>
      <c r="AE1826" s="12"/>
      <c r="AF1826" s="12"/>
      <c r="AG1826" s="12"/>
      <c r="AH1826" s="12"/>
      <c r="AI1826" s="12"/>
      <c r="AJ1826" s="12"/>
      <c r="AK1826" s="12"/>
      <c r="AL1826" s="12"/>
      <c r="AM1826" s="12"/>
      <c r="AN1826" s="12"/>
      <c r="AO1826" s="12"/>
      <c r="AP1826" s="12"/>
      <c r="AQ1826" s="12"/>
      <c r="AR1826" s="12"/>
      <c r="AS1826" s="12"/>
      <c r="AT1826" s="12"/>
      <c r="AU1826" s="12"/>
      <c r="AV1826" s="12"/>
    </row>
    <row r="1827"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  <c r="AC1827" s="12"/>
      <c r="AD1827" s="12"/>
      <c r="AE1827" s="12"/>
      <c r="AF1827" s="12"/>
      <c r="AG1827" s="12"/>
      <c r="AH1827" s="12"/>
      <c r="AI1827" s="12"/>
      <c r="AJ1827" s="12"/>
      <c r="AK1827" s="12"/>
      <c r="AL1827" s="12"/>
      <c r="AM1827" s="12"/>
      <c r="AN1827" s="12"/>
      <c r="AO1827" s="12"/>
      <c r="AP1827" s="12"/>
      <c r="AQ1827" s="12"/>
      <c r="AR1827" s="12"/>
      <c r="AS1827" s="12"/>
      <c r="AT1827" s="12"/>
      <c r="AU1827" s="12"/>
      <c r="AV1827" s="12"/>
    </row>
    <row r="1828"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  <c r="AC1828" s="12"/>
      <c r="AD1828" s="12"/>
      <c r="AE1828" s="12"/>
      <c r="AF1828" s="12"/>
      <c r="AG1828" s="12"/>
      <c r="AH1828" s="12"/>
      <c r="AI1828" s="12"/>
      <c r="AJ1828" s="12"/>
      <c r="AK1828" s="12"/>
      <c r="AL1828" s="12"/>
      <c r="AM1828" s="12"/>
      <c r="AN1828" s="12"/>
      <c r="AO1828" s="12"/>
      <c r="AP1828" s="12"/>
      <c r="AQ1828" s="12"/>
      <c r="AR1828" s="12"/>
      <c r="AS1828" s="12"/>
      <c r="AT1828" s="12"/>
      <c r="AU1828" s="12"/>
      <c r="AV1828" s="12"/>
    </row>
    <row r="1829"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2"/>
      <c r="AE1829" s="12"/>
      <c r="AF1829" s="12"/>
      <c r="AG1829" s="12"/>
      <c r="AH1829" s="12"/>
      <c r="AI1829" s="12"/>
      <c r="AJ1829" s="12"/>
      <c r="AK1829" s="12"/>
      <c r="AL1829" s="12"/>
      <c r="AM1829" s="12"/>
      <c r="AN1829" s="12"/>
      <c r="AO1829" s="12"/>
      <c r="AP1829" s="12"/>
      <c r="AQ1829" s="12"/>
      <c r="AR1829" s="12"/>
      <c r="AS1829" s="12"/>
      <c r="AT1829" s="12"/>
      <c r="AU1829" s="12"/>
      <c r="AV1829" s="12"/>
    </row>
    <row r="1830"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  <c r="AC1830" s="12"/>
      <c r="AD1830" s="12"/>
      <c r="AE1830" s="12"/>
      <c r="AF1830" s="12"/>
      <c r="AG1830" s="12"/>
      <c r="AH1830" s="12"/>
      <c r="AI1830" s="12"/>
      <c r="AJ1830" s="12"/>
      <c r="AK1830" s="12"/>
      <c r="AL1830" s="12"/>
      <c r="AM1830" s="12"/>
      <c r="AN1830" s="12"/>
      <c r="AO1830" s="12"/>
      <c r="AP1830" s="12"/>
      <c r="AQ1830" s="12"/>
      <c r="AR1830" s="12"/>
      <c r="AS1830" s="12"/>
      <c r="AT1830" s="12"/>
      <c r="AU1830" s="12"/>
      <c r="AV1830" s="12"/>
    </row>
    <row r="1831"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  <c r="AC1831" s="12"/>
      <c r="AD1831" s="12"/>
      <c r="AE1831" s="12"/>
      <c r="AF1831" s="12"/>
      <c r="AG1831" s="12"/>
      <c r="AH1831" s="12"/>
      <c r="AI1831" s="12"/>
      <c r="AJ1831" s="12"/>
      <c r="AK1831" s="12"/>
      <c r="AL1831" s="12"/>
      <c r="AM1831" s="12"/>
      <c r="AN1831" s="12"/>
      <c r="AO1831" s="12"/>
      <c r="AP1831" s="12"/>
      <c r="AQ1831" s="12"/>
      <c r="AR1831" s="12"/>
      <c r="AS1831" s="12"/>
      <c r="AT1831" s="12"/>
      <c r="AU1831" s="12"/>
      <c r="AV1831" s="12"/>
    </row>
    <row r="1832"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  <c r="AC1832" s="12"/>
      <c r="AD1832" s="12"/>
      <c r="AE1832" s="12"/>
      <c r="AF1832" s="12"/>
      <c r="AG1832" s="12"/>
      <c r="AH1832" s="12"/>
      <c r="AI1832" s="12"/>
      <c r="AJ1832" s="12"/>
      <c r="AK1832" s="12"/>
      <c r="AL1832" s="12"/>
      <c r="AM1832" s="12"/>
      <c r="AN1832" s="12"/>
      <c r="AO1832" s="12"/>
      <c r="AP1832" s="12"/>
      <c r="AQ1832" s="12"/>
      <c r="AR1832" s="12"/>
      <c r="AS1832" s="12"/>
      <c r="AT1832" s="12"/>
      <c r="AU1832" s="12"/>
      <c r="AV1832" s="12"/>
    </row>
    <row r="1833"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  <c r="AC1833" s="12"/>
      <c r="AD1833" s="12"/>
      <c r="AE1833" s="12"/>
      <c r="AF1833" s="12"/>
      <c r="AG1833" s="12"/>
      <c r="AH1833" s="12"/>
      <c r="AI1833" s="12"/>
      <c r="AJ1833" s="12"/>
      <c r="AK1833" s="12"/>
      <c r="AL1833" s="12"/>
      <c r="AM1833" s="12"/>
      <c r="AN1833" s="12"/>
      <c r="AO1833" s="12"/>
      <c r="AP1833" s="12"/>
      <c r="AQ1833" s="12"/>
      <c r="AR1833" s="12"/>
      <c r="AS1833" s="12"/>
      <c r="AT1833" s="12"/>
      <c r="AU1833" s="12"/>
      <c r="AV1833" s="12"/>
    </row>
    <row r="1834"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  <c r="AM1834" s="12"/>
      <c r="AN1834" s="12"/>
      <c r="AO1834" s="12"/>
      <c r="AP1834" s="12"/>
      <c r="AQ1834" s="12"/>
      <c r="AR1834" s="12"/>
      <c r="AS1834" s="12"/>
      <c r="AT1834" s="12"/>
      <c r="AU1834" s="12"/>
      <c r="AV1834" s="12"/>
    </row>
    <row r="1835"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  <c r="AC1835" s="12"/>
      <c r="AD1835" s="12"/>
      <c r="AE1835" s="12"/>
      <c r="AF1835" s="12"/>
      <c r="AG1835" s="12"/>
      <c r="AH1835" s="12"/>
      <c r="AI1835" s="12"/>
      <c r="AJ1835" s="12"/>
      <c r="AK1835" s="12"/>
      <c r="AL1835" s="12"/>
      <c r="AM1835" s="12"/>
      <c r="AN1835" s="12"/>
      <c r="AO1835" s="12"/>
      <c r="AP1835" s="12"/>
      <c r="AQ1835" s="12"/>
      <c r="AR1835" s="12"/>
      <c r="AS1835" s="12"/>
      <c r="AT1835" s="12"/>
      <c r="AU1835" s="12"/>
      <c r="AV1835" s="12"/>
    </row>
    <row r="1836"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  <c r="AC1836" s="12"/>
      <c r="AD1836" s="12"/>
      <c r="AE1836" s="12"/>
      <c r="AF1836" s="12"/>
      <c r="AG1836" s="12"/>
      <c r="AH1836" s="12"/>
      <c r="AI1836" s="12"/>
      <c r="AJ1836" s="12"/>
      <c r="AK1836" s="12"/>
      <c r="AL1836" s="12"/>
      <c r="AM1836" s="12"/>
      <c r="AN1836" s="12"/>
      <c r="AO1836" s="12"/>
      <c r="AP1836" s="12"/>
      <c r="AQ1836" s="12"/>
      <c r="AR1836" s="12"/>
      <c r="AS1836" s="12"/>
      <c r="AT1836" s="12"/>
      <c r="AU1836" s="12"/>
      <c r="AV1836" s="12"/>
    </row>
    <row r="1837"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  <c r="AC1837" s="12"/>
      <c r="AD1837" s="12"/>
      <c r="AE1837" s="12"/>
      <c r="AF1837" s="12"/>
      <c r="AG1837" s="12"/>
      <c r="AH1837" s="12"/>
      <c r="AI1837" s="12"/>
      <c r="AJ1837" s="12"/>
      <c r="AK1837" s="12"/>
      <c r="AL1837" s="12"/>
      <c r="AM1837" s="12"/>
      <c r="AN1837" s="12"/>
      <c r="AO1837" s="12"/>
      <c r="AP1837" s="12"/>
      <c r="AQ1837" s="12"/>
      <c r="AR1837" s="12"/>
      <c r="AS1837" s="12"/>
      <c r="AT1837" s="12"/>
      <c r="AU1837" s="12"/>
      <c r="AV1837" s="12"/>
    </row>
    <row r="1838"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  <c r="AC1838" s="12"/>
      <c r="AD1838" s="12"/>
      <c r="AE1838" s="12"/>
      <c r="AF1838" s="12"/>
      <c r="AG1838" s="12"/>
      <c r="AH1838" s="12"/>
      <c r="AI1838" s="12"/>
      <c r="AJ1838" s="12"/>
      <c r="AK1838" s="12"/>
      <c r="AL1838" s="12"/>
      <c r="AM1838" s="12"/>
      <c r="AN1838" s="12"/>
      <c r="AO1838" s="12"/>
      <c r="AP1838" s="12"/>
      <c r="AQ1838" s="12"/>
      <c r="AR1838" s="12"/>
      <c r="AS1838" s="12"/>
      <c r="AT1838" s="12"/>
      <c r="AU1838" s="12"/>
      <c r="AV1838" s="12"/>
    </row>
    <row r="1839"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  <c r="AC1839" s="12"/>
      <c r="AD1839" s="12"/>
      <c r="AE1839" s="12"/>
      <c r="AF1839" s="12"/>
      <c r="AG1839" s="12"/>
      <c r="AH1839" s="12"/>
      <c r="AI1839" s="12"/>
      <c r="AJ1839" s="12"/>
      <c r="AK1839" s="12"/>
      <c r="AL1839" s="12"/>
      <c r="AM1839" s="12"/>
      <c r="AN1839" s="12"/>
      <c r="AO1839" s="12"/>
      <c r="AP1839" s="12"/>
      <c r="AQ1839" s="12"/>
      <c r="AR1839" s="12"/>
      <c r="AS1839" s="12"/>
      <c r="AT1839" s="12"/>
      <c r="AU1839" s="12"/>
      <c r="AV1839" s="12"/>
    </row>
    <row r="1840"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  <c r="AC1840" s="12"/>
      <c r="AD1840" s="12"/>
      <c r="AE1840" s="12"/>
      <c r="AF1840" s="12"/>
      <c r="AG1840" s="12"/>
      <c r="AH1840" s="12"/>
      <c r="AI1840" s="12"/>
      <c r="AJ1840" s="12"/>
      <c r="AK1840" s="12"/>
      <c r="AL1840" s="12"/>
      <c r="AM1840" s="12"/>
      <c r="AN1840" s="12"/>
      <c r="AO1840" s="12"/>
      <c r="AP1840" s="12"/>
      <c r="AQ1840" s="12"/>
      <c r="AR1840" s="12"/>
      <c r="AS1840" s="12"/>
      <c r="AT1840" s="12"/>
      <c r="AU1840" s="12"/>
      <c r="AV1840" s="12"/>
    </row>
    <row r="1841"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  <c r="AC1841" s="12"/>
      <c r="AD1841" s="12"/>
      <c r="AE1841" s="12"/>
      <c r="AF1841" s="12"/>
      <c r="AG1841" s="12"/>
      <c r="AH1841" s="12"/>
      <c r="AI1841" s="12"/>
      <c r="AJ1841" s="12"/>
      <c r="AK1841" s="12"/>
      <c r="AL1841" s="12"/>
      <c r="AM1841" s="12"/>
      <c r="AN1841" s="12"/>
      <c r="AO1841" s="12"/>
      <c r="AP1841" s="12"/>
      <c r="AQ1841" s="12"/>
      <c r="AR1841" s="12"/>
      <c r="AS1841" s="12"/>
      <c r="AT1841" s="12"/>
      <c r="AU1841" s="12"/>
      <c r="AV1841" s="12"/>
    </row>
    <row r="1842">
      <c r="S1842" s="12"/>
      <c r="T1842" s="12"/>
      <c r="U1842" s="12"/>
      <c r="V1842" s="12"/>
      <c r="W1842" s="12"/>
      <c r="X1842" s="12"/>
      <c r="Y1842" s="12"/>
      <c r="Z1842" s="12"/>
      <c r="AA1842" s="12"/>
      <c r="AB1842" s="12"/>
      <c r="AC1842" s="12"/>
      <c r="AD1842" s="12"/>
      <c r="AE1842" s="12"/>
      <c r="AF1842" s="12"/>
      <c r="AG1842" s="12"/>
      <c r="AH1842" s="12"/>
      <c r="AI1842" s="12"/>
      <c r="AJ1842" s="12"/>
      <c r="AK1842" s="12"/>
      <c r="AL1842" s="12"/>
      <c r="AM1842" s="12"/>
      <c r="AN1842" s="12"/>
      <c r="AO1842" s="12"/>
      <c r="AP1842" s="12"/>
      <c r="AQ1842" s="12"/>
      <c r="AR1842" s="12"/>
      <c r="AS1842" s="12"/>
      <c r="AT1842" s="12"/>
      <c r="AU1842" s="12"/>
      <c r="AV1842" s="12"/>
    </row>
    <row r="1843"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  <c r="AC1843" s="12"/>
      <c r="AD1843" s="12"/>
      <c r="AE1843" s="12"/>
      <c r="AF1843" s="12"/>
      <c r="AG1843" s="12"/>
      <c r="AH1843" s="12"/>
      <c r="AI1843" s="12"/>
      <c r="AJ1843" s="12"/>
      <c r="AK1843" s="12"/>
      <c r="AL1843" s="12"/>
      <c r="AM1843" s="12"/>
      <c r="AN1843" s="12"/>
      <c r="AO1843" s="12"/>
      <c r="AP1843" s="12"/>
      <c r="AQ1843" s="12"/>
      <c r="AR1843" s="12"/>
      <c r="AS1843" s="12"/>
      <c r="AT1843" s="12"/>
      <c r="AU1843" s="12"/>
      <c r="AV1843" s="12"/>
    </row>
    <row r="1844"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  <c r="AC1844" s="12"/>
      <c r="AD1844" s="12"/>
      <c r="AE1844" s="12"/>
      <c r="AF1844" s="12"/>
      <c r="AG1844" s="12"/>
      <c r="AH1844" s="12"/>
      <c r="AI1844" s="12"/>
      <c r="AJ1844" s="12"/>
      <c r="AK1844" s="12"/>
      <c r="AL1844" s="12"/>
      <c r="AM1844" s="12"/>
      <c r="AN1844" s="12"/>
      <c r="AO1844" s="12"/>
      <c r="AP1844" s="12"/>
      <c r="AQ1844" s="12"/>
      <c r="AR1844" s="12"/>
      <c r="AS1844" s="12"/>
      <c r="AT1844" s="12"/>
      <c r="AU1844" s="12"/>
      <c r="AV1844" s="12"/>
    </row>
    <row r="1845"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  <c r="AC1845" s="12"/>
      <c r="AD1845" s="12"/>
      <c r="AE1845" s="12"/>
      <c r="AF1845" s="12"/>
      <c r="AG1845" s="12"/>
      <c r="AH1845" s="12"/>
      <c r="AI1845" s="12"/>
      <c r="AJ1845" s="12"/>
      <c r="AK1845" s="12"/>
      <c r="AL1845" s="12"/>
      <c r="AM1845" s="12"/>
      <c r="AN1845" s="12"/>
      <c r="AO1845" s="12"/>
      <c r="AP1845" s="12"/>
      <c r="AQ1845" s="12"/>
      <c r="AR1845" s="12"/>
      <c r="AS1845" s="12"/>
      <c r="AT1845" s="12"/>
      <c r="AU1845" s="12"/>
      <c r="AV1845" s="12"/>
    </row>
    <row r="1846"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  <c r="AC1846" s="12"/>
      <c r="AD1846" s="12"/>
      <c r="AE1846" s="12"/>
      <c r="AF1846" s="12"/>
      <c r="AG1846" s="12"/>
      <c r="AH1846" s="12"/>
      <c r="AI1846" s="12"/>
      <c r="AJ1846" s="12"/>
      <c r="AK1846" s="12"/>
      <c r="AL1846" s="12"/>
      <c r="AM1846" s="12"/>
      <c r="AN1846" s="12"/>
      <c r="AO1846" s="12"/>
      <c r="AP1846" s="12"/>
      <c r="AQ1846" s="12"/>
      <c r="AR1846" s="12"/>
      <c r="AS1846" s="12"/>
      <c r="AT1846" s="12"/>
      <c r="AU1846" s="12"/>
      <c r="AV1846" s="12"/>
    </row>
    <row r="1847"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  <c r="AC1847" s="12"/>
      <c r="AD1847" s="12"/>
      <c r="AE1847" s="12"/>
      <c r="AF1847" s="12"/>
      <c r="AG1847" s="12"/>
      <c r="AH1847" s="12"/>
      <c r="AI1847" s="12"/>
      <c r="AJ1847" s="12"/>
      <c r="AK1847" s="12"/>
      <c r="AL1847" s="12"/>
      <c r="AM1847" s="12"/>
      <c r="AN1847" s="12"/>
      <c r="AO1847" s="12"/>
      <c r="AP1847" s="12"/>
      <c r="AQ1847" s="12"/>
      <c r="AR1847" s="12"/>
      <c r="AS1847" s="12"/>
      <c r="AT1847" s="12"/>
      <c r="AU1847" s="12"/>
      <c r="AV1847" s="12"/>
    </row>
    <row r="1848"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  <c r="AC1848" s="12"/>
      <c r="AD1848" s="12"/>
      <c r="AE1848" s="12"/>
      <c r="AF1848" s="12"/>
      <c r="AG1848" s="12"/>
      <c r="AH1848" s="12"/>
      <c r="AI1848" s="12"/>
      <c r="AJ1848" s="12"/>
      <c r="AK1848" s="12"/>
      <c r="AL1848" s="12"/>
      <c r="AM1848" s="12"/>
      <c r="AN1848" s="12"/>
      <c r="AO1848" s="12"/>
      <c r="AP1848" s="12"/>
      <c r="AQ1848" s="12"/>
      <c r="AR1848" s="12"/>
      <c r="AS1848" s="12"/>
      <c r="AT1848" s="12"/>
      <c r="AU1848" s="12"/>
      <c r="AV1848" s="12"/>
    </row>
    <row r="1849"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  <c r="AC1849" s="12"/>
      <c r="AD1849" s="12"/>
      <c r="AE1849" s="12"/>
      <c r="AF1849" s="12"/>
      <c r="AG1849" s="12"/>
      <c r="AH1849" s="12"/>
      <c r="AI1849" s="12"/>
      <c r="AJ1849" s="12"/>
      <c r="AK1849" s="12"/>
      <c r="AL1849" s="12"/>
      <c r="AM1849" s="12"/>
      <c r="AN1849" s="12"/>
      <c r="AO1849" s="12"/>
      <c r="AP1849" s="12"/>
      <c r="AQ1849" s="12"/>
      <c r="AR1849" s="12"/>
      <c r="AS1849" s="12"/>
      <c r="AT1849" s="12"/>
      <c r="AU1849" s="12"/>
      <c r="AV1849" s="12"/>
    </row>
    <row r="1850"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  <c r="AC1850" s="12"/>
      <c r="AD1850" s="12"/>
      <c r="AE1850" s="12"/>
      <c r="AF1850" s="12"/>
      <c r="AG1850" s="12"/>
      <c r="AH1850" s="12"/>
      <c r="AI1850" s="12"/>
      <c r="AJ1850" s="12"/>
      <c r="AK1850" s="12"/>
      <c r="AL1850" s="12"/>
      <c r="AM1850" s="12"/>
      <c r="AN1850" s="12"/>
      <c r="AO1850" s="12"/>
      <c r="AP1850" s="12"/>
      <c r="AQ1850" s="12"/>
      <c r="AR1850" s="12"/>
      <c r="AS1850" s="12"/>
      <c r="AT1850" s="12"/>
      <c r="AU1850" s="12"/>
      <c r="AV1850" s="12"/>
    </row>
    <row r="1851"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  <c r="AC1851" s="12"/>
      <c r="AD1851" s="12"/>
      <c r="AE1851" s="12"/>
      <c r="AF1851" s="12"/>
      <c r="AG1851" s="12"/>
      <c r="AH1851" s="12"/>
      <c r="AI1851" s="12"/>
      <c r="AJ1851" s="12"/>
      <c r="AK1851" s="12"/>
      <c r="AL1851" s="12"/>
      <c r="AM1851" s="12"/>
      <c r="AN1851" s="12"/>
      <c r="AO1851" s="12"/>
      <c r="AP1851" s="12"/>
      <c r="AQ1851" s="12"/>
      <c r="AR1851" s="12"/>
      <c r="AS1851" s="12"/>
      <c r="AT1851" s="12"/>
      <c r="AU1851" s="12"/>
      <c r="AV1851" s="12"/>
    </row>
    <row r="1852"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  <c r="AC1852" s="12"/>
      <c r="AD1852" s="12"/>
      <c r="AE1852" s="12"/>
      <c r="AF1852" s="12"/>
      <c r="AG1852" s="12"/>
      <c r="AH1852" s="12"/>
      <c r="AI1852" s="12"/>
      <c r="AJ1852" s="12"/>
      <c r="AK1852" s="12"/>
      <c r="AL1852" s="12"/>
      <c r="AM1852" s="12"/>
      <c r="AN1852" s="12"/>
      <c r="AO1852" s="12"/>
      <c r="AP1852" s="12"/>
      <c r="AQ1852" s="12"/>
      <c r="AR1852" s="12"/>
      <c r="AS1852" s="12"/>
      <c r="AT1852" s="12"/>
      <c r="AU1852" s="12"/>
      <c r="AV1852" s="12"/>
    </row>
    <row r="1853"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  <c r="AC1853" s="12"/>
      <c r="AD1853" s="12"/>
      <c r="AE1853" s="12"/>
      <c r="AF1853" s="12"/>
      <c r="AG1853" s="12"/>
      <c r="AH1853" s="12"/>
      <c r="AI1853" s="12"/>
      <c r="AJ1853" s="12"/>
      <c r="AK1853" s="12"/>
      <c r="AL1853" s="12"/>
      <c r="AM1853" s="12"/>
      <c r="AN1853" s="12"/>
      <c r="AO1853" s="12"/>
      <c r="AP1853" s="12"/>
      <c r="AQ1853" s="12"/>
      <c r="AR1853" s="12"/>
      <c r="AS1853" s="12"/>
      <c r="AT1853" s="12"/>
      <c r="AU1853" s="12"/>
      <c r="AV1853" s="12"/>
    </row>
    <row r="1854"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  <c r="AC1854" s="12"/>
      <c r="AD1854" s="12"/>
      <c r="AE1854" s="12"/>
      <c r="AF1854" s="12"/>
      <c r="AG1854" s="12"/>
      <c r="AH1854" s="12"/>
      <c r="AI1854" s="12"/>
      <c r="AJ1854" s="12"/>
      <c r="AK1854" s="12"/>
      <c r="AL1854" s="12"/>
      <c r="AM1854" s="12"/>
      <c r="AN1854" s="12"/>
      <c r="AO1854" s="12"/>
      <c r="AP1854" s="12"/>
      <c r="AQ1854" s="12"/>
      <c r="AR1854" s="12"/>
      <c r="AS1854" s="12"/>
      <c r="AT1854" s="12"/>
      <c r="AU1854" s="12"/>
      <c r="AV1854" s="12"/>
    </row>
    <row r="1855"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  <c r="AC1855" s="12"/>
      <c r="AD1855" s="12"/>
      <c r="AE1855" s="12"/>
      <c r="AF1855" s="12"/>
      <c r="AG1855" s="12"/>
      <c r="AH1855" s="12"/>
      <c r="AI1855" s="12"/>
      <c r="AJ1855" s="12"/>
      <c r="AK1855" s="12"/>
      <c r="AL1855" s="12"/>
      <c r="AM1855" s="12"/>
      <c r="AN1855" s="12"/>
      <c r="AO1855" s="12"/>
      <c r="AP1855" s="12"/>
      <c r="AQ1855" s="12"/>
      <c r="AR1855" s="12"/>
      <c r="AS1855" s="12"/>
      <c r="AT1855" s="12"/>
      <c r="AU1855" s="12"/>
      <c r="AV1855" s="12"/>
    </row>
    <row r="1856"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  <c r="AC1856" s="12"/>
      <c r="AD1856" s="12"/>
      <c r="AE1856" s="12"/>
      <c r="AF1856" s="12"/>
      <c r="AG1856" s="12"/>
      <c r="AH1856" s="12"/>
      <c r="AI1856" s="12"/>
      <c r="AJ1856" s="12"/>
      <c r="AK1856" s="12"/>
      <c r="AL1856" s="12"/>
      <c r="AM1856" s="12"/>
      <c r="AN1856" s="12"/>
      <c r="AO1856" s="12"/>
      <c r="AP1856" s="12"/>
      <c r="AQ1856" s="12"/>
      <c r="AR1856" s="12"/>
      <c r="AS1856" s="12"/>
      <c r="AT1856" s="12"/>
      <c r="AU1856" s="12"/>
      <c r="AV1856" s="12"/>
    </row>
    <row r="1857"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  <c r="AC1857" s="12"/>
      <c r="AD1857" s="12"/>
      <c r="AE1857" s="12"/>
      <c r="AF1857" s="12"/>
      <c r="AG1857" s="12"/>
      <c r="AH1857" s="12"/>
      <c r="AI1857" s="12"/>
      <c r="AJ1857" s="12"/>
      <c r="AK1857" s="12"/>
      <c r="AL1857" s="12"/>
      <c r="AM1857" s="12"/>
      <c r="AN1857" s="12"/>
      <c r="AO1857" s="12"/>
      <c r="AP1857" s="12"/>
      <c r="AQ1857" s="12"/>
      <c r="AR1857" s="12"/>
      <c r="AS1857" s="12"/>
      <c r="AT1857" s="12"/>
      <c r="AU1857" s="12"/>
      <c r="AV1857" s="12"/>
    </row>
    <row r="1858"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  <c r="AC1858" s="12"/>
      <c r="AD1858" s="12"/>
      <c r="AE1858" s="12"/>
      <c r="AF1858" s="12"/>
      <c r="AG1858" s="12"/>
      <c r="AH1858" s="12"/>
      <c r="AI1858" s="12"/>
      <c r="AJ1858" s="12"/>
      <c r="AK1858" s="12"/>
      <c r="AL1858" s="12"/>
      <c r="AM1858" s="12"/>
      <c r="AN1858" s="12"/>
      <c r="AO1858" s="12"/>
      <c r="AP1858" s="12"/>
      <c r="AQ1858" s="12"/>
      <c r="AR1858" s="12"/>
      <c r="AS1858" s="12"/>
      <c r="AT1858" s="12"/>
      <c r="AU1858" s="12"/>
      <c r="AV1858" s="12"/>
    </row>
    <row r="1859"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  <c r="AC1859" s="12"/>
      <c r="AD1859" s="12"/>
      <c r="AE1859" s="12"/>
      <c r="AF1859" s="12"/>
      <c r="AG1859" s="12"/>
      <c r="AH1859" s="12"/>
      <c r="AI1859" s="12"/>
      <c r="AJ1859" s="12"/>
      <c r="AK1859" s="12"/>
      <c r="AL1859" s="12"/>
      <c r="AM1859" s="12"/>
      <c r="AN1859" s="12"/>
      <c r="AO1859" s="12"/>
      <c r="AP1859" s="12"/>
      <c r="AQ1859" s="12"/>
      <c r="AR1859" s="12"/>
      <c r="AS1859" s="12"/>
      <c r="AT1859" s="12"/>
      <c r="AU1859" s="12"/>
      <c r="AV1859" s="12"/>
    </row>
    <row r="1860"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  <c r="AC1860" s="12"/>
      <c r="AD1860" s="12"/>
      <c r="AE1860" s="12"/>
      <c r="AF1860" s="12"/>
      <c r="AG1860" s="12"/>
      <c r="AH1860" s="12"/>
      <c r="AI1860" s="12"/>
      <c r="AJ1860" s="12"/>
      <c r="AK1860" s="12"/>
      <c r="AL1860" s="12"/>
      <c r="AM1860" s="12"/>
      <c r="AN1860" s="12"/>
      <c r="AO1860" s="12"/>
      <c r="AP1860" s="12"/>
      <c r="AQ1860" s="12"/>
      <c r="AR1860" s="12"/>
      <c r="AS1860" s="12"/>
      <c r="AT1860" s="12"/>
      <c r="AU1860" s="12"/>
      <c r="AV1860" s="12"/>
    </row>
    <row r="1861"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  <c r="AC1861" s="12"/>
      <c r="AD1861" s="12"/>
      <c r="AE1861" s="12"/>
      <c r="AF1861" s="12"/>
      <c r="AG1861" s="12"/>
      <c r="AH1861" s="12"/>
      <c r="AI1861" s="12"/>
      <c r="AJ1861" s="12"/>
      <c r="AK1861" s="12"/>
      <c r="AL1861" s="12"/>
      <c r="AM1861" s="12"/>
      <c r="AN1861" s="12"/>
      <c r="AO1861" s="12"/>
      <c r="AP1861" s="12"/>
      <c r="AQ1861" s="12"/>
      <c r="AR1861" s="12"/>
      <c r="AS1861" s="12"/>
      <c r="AT1861" s="12"/>
      <c r="AU1861" s="12"/>
      <c r="AV1861" s="12"/>
    </row>
    <row r="1862"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  <c r="AC1862" s="12"/>
      <c r="AD1862" s="12"/>
      <c r="AE1862" s="12"/>
      <c r="AF1862" s="12"/>
      <c r="AG1862" s="12"/>
      <c r="AH1862" s="12"/>
      <c r="AI1862" s="12"/>
      <c r="AJ1862" s="12"/>
      <c r="AK1862" s="12"/>
      <c r="AL1862" s="12"/>
      <c r="AM1862" s="12"/>
      <c r="AN1862" s="12"/>
      <c r="AO1862" s="12"/>
      <c r="AP1862" s="12"/>
      <c r="AQ1862" s="12"/>
      <c r="AR1862" s="12"/>
      <c r="AS1862" s="12"/>
      <c r="AT1862" s="12"/>
      <c r="AU1862" s="12"/>
      <c r="AV1862" s="12"/>
    </row>
    <row r="1863"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  <c r="AC1863" s="12"/>
      <c r="AD1863" s="12"/>
      <c r="AE1863" s="12"/>
      <c r="AF1863" s="12"/>
      <c r="AG1863" s="12"/>
      <c r="AH1863" s="12"/>
      <c r="AI1863" s="12"/>
      <c r="AJ1863" s="12"/>
      <c r="AK1863" s="12"/>
      <c r="AL1863" s="12"/>
      <c r="AM1863" s="12"/>
      <c r="AN1863" s="12"/>
      <c r="AO1863" s="12"/>
      <c r="AP1863" s="12"/>
      <c r="AQ1863" s="12"/>
      <c r="AR1863" s="12"/>
      <c r="AS1863" s="12"/>
      <c r="AT1863" s="12"/>
      <c r="AU1863" s="12"/>
      <c r="AV1863" s="12"/>
    </row>
    <row r="1864"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  <c r="AC1864" s="12"/>
      <c r="AD1864" s="12"/>
      <c r="AE1864" s="12"/>
      <c r="AF1864" s="12"/>
      <c r="AG1864" s="12"/>
      <c r="AH1864" s="12"/>
      <c r="AI1864" s="12"/>
      <c r="AJ1864" s="12"/>
      <c r="AK1864" s="12"/>
      <c r="AL1864" s="12"/>
      <c r="AM1864" s="12"/>
      <c r="AN1864" s="12"/>
      <c r="AO1864" s="12"/>
      <c r="AP1864" s="12"/>
      <c r="AQ1864" s="12"/>
      <c r="AR1864" s="12"/>
      <c r="AS1864" s="12"/>
      <c r="AT1864" s="12"/>
      <c r="AU1864" s="12"/>
      <c r="AV1864" s="12"/>
    </row>
    <row r="1865"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  <c r="AC1865" s="12"/>
      <c r="AD1865" s="12"/>
      <c r="AE1865" s="12"/>
      <c r="AF1865" s="12"/>
      <c r="AG1865" s="12"/>
      <c r="AH1865" s="12"/>
      <c r="AI1865" s="12"/>
      <c r="AJ1865" s="12"/>
      <c r="AK1865" s="12"/>
      <c r="AL1865" s="12"/>
      <c r="AM1865" s="12"/>
      <c r="AN1865" s="12"/>
      <c r="AO1865" s="12"/>
      <c r="AP1865" s="12"/>
      <c r="AQ1865" s="12"/>
      <c r="AR1865" s="12"/>
      <c r="AS1865" s="12"/>
      <c r="AT1865" s="12"/>
      <c r="AU1865" s="12"/>
      <c r="AV1865" s="12"/>
    </row>
    <row r="1866"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  <c r="AC1866" s="12"/>
      <c r="AD1866" s="12"/>
      <c r="AE1866" s="12"/>
      <c r="AF1866" s="12"/>
      <c r="AG1866" s="12"/>
      <c r="AH1866" s="12"/>
      <c r="AI1866" s="12"/>
      <c r="AJ1866" s="12"/>
      <c r="AK1866" s="12"/>
      <c r="AL1866" s="12"/>
      <c r="AM1866" s="12"/>
      <c r="AN1866" s="12"/>
      <c r="AO1866" s="12"/>
      <c r="AP1866" s="12"/>
      <c r="AQ1866" s="12"/>
      <c r="AR1866" s="12"/>
      <c r="AS1866" s="12"/>
      <c r="AT1866" s="12"/>
      <c r="AU1866" s="12"/>
      <c r="AV1866" s="12"/>
    </row>
    <row r="1867"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  <c r="AC1867" s="12"/>
      <c r="AD1867" s="12"/>
      <c r="AE1867" s="12"/>
      <c r="AF1867" s="12"/>
      <c r="AG1867" s="12"/>
      <c r="AH1867" s="12"/>
      <c r="AI1867" s="12"/>
      <c r="AJ1867" s="12"/>
      <c r="AK1867" s="12"/>
      <c r="AL1867" s="12"/>
      <c r="AM1867" s="12"/>
      <c r="AN1867" s="12"/>
      <c r="AO1867" s="12"/>
      <c r="AP1867" s="12"/>
      <c r="AQ1867" s="12"/>
      <c r="AR1867" s="12"/>
      <c r="AS1867" s="12"/>
      <c r="AT1867" s="12"/>
      <c r="AU1867" s="12"/>
      <c r="AV1867" s="12"/>
    </row>
    <row r="1868"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  <c r="AC1868" s="12"/>
      <c r="AD1868" s="12"/>
      <c r="AE1868" s="12"/>
      <c r="AF1868" s="12"/>
      <c r="AG1868" s="12"/>
      <c r="AH1868" s="12"/>
      <c r="AI1868" s="12"/>
      <c r="AJ1868" s="12"/>
      <c r="AK1868" s="12"/>
      <c r="AL1868" s="12"/>
      <c r="AM1868" s="12"/>
      <c r="AN1868" s="12"/>
      <c r="AO1868" s="12"/>
      <c r="AP1868" s="12"/>
      <c r="AQ1868" s="12"/>
      <c r="AR1868" s="12"/>
      <c r="AS1868" s="12"/>
      <c r="AT1868" s="12"/>
      <c r="AU1868" s="12"/>
      <c r="AV1868" s="12"/>
    </row>
    <row r="1869"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  <c r="AC1869" s="12"/>
      <c r="AD1869" s="12"/>
      <c r="AE1869" s="12"/>
      <c r="AF1869" s="12"/>
      <c r="AG1869" s="12"/>
      <c r="AH1869" s="12"/>
      <c r="AI1869" s="12"/>
      <c r="AJ1869" s="12"/>
      <c r="AK1869" s="12"/>
      <c r="AL1869" s="12"/>
      <c r="AM1869" s="12"/>
      <c r="AN1869" s="12"/>
      <c r="AO1869" s="12"/>
      <c r="AP1869" s="12"/>
      <c r="AQ1869" s="12"/>
      <c r="AR1869" s="12"/>
      <c r="AS1869" s="12"/>
      <c r="AT1869" s="12"/>
      <c r="AU1869" s="12"/>
      <c r="AV1869" s="12"/>
    </row>
    <row r="1870"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  <c r="AC1870" s="12"/>
      <c r="AD1870" s="12"/>
      <c r="AE1870" s="12"/>
      <c r="AF1870" s="12"/>
      <c r="AG1870" s="12"/>
      <c r="AH1870" s="12"/>
      <c r="AI1870" s="12"/>
      <c r="AJ1870" s="12"/>
      <c r="AK1870" s="12"/>
      <c r="AL1870" s="12"/>
      <c r="AM1870" s="12"/>
      <c r="AN1870" s="12"/>
      <c r="AO1870" s="12"/>
      <c r="AP1870" s="12"/>
      <c r="AQ1870" s="12"/>
      <c r="AR1870" s="12"/>
      <c r="AS1870" s="12"/>
      <c r="AT1870" s="12"/>
      <c r="AU1870" s="12"/>
      <c r="AV1870" s="12"/>
    </row>
    <row r="1871"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  <c r="AC1871" s="12"/>
      <c r="AD1871" s="12"/>
      <c r="AE1871" s="12"/>
      <c r="AF1871" s="12"/>
      <c r="AG1871" s="12"/>
      <c r="AH1871" s="12"/>
      <c r="AI1871" s="12"/>
      <c r="AJ1871" s="12"/>
      <c r="AK1871" s="12"/>
      <c r="AL1871" s="12"/>
      <c r="AM1871" s="12"/>
      <c r="AN1871" s="12"/>
      <c r="AO1871" s="12"/>
      <c r="AP1871" s="12"/>
      <c r="AQ1871" s="12"/>
      <c r="AR1871" s="12"/>
      <c r="AS1871" s="12"/>
      <c r="AT1871" s="12"/>
      <c r="AU1871" s="12"/>
      <c r="AV1871" s="12"/>
    </row>
    <row r="1872"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  <c r="AC1872" s="12"/>
      <c r="AD1872" s="12"/>
      <c r="AE1872" s="12"/>
      <c r="AF1872" s="12"/>
      <c r="AG1872" s="12"/>
      <c r="AH1872" s="12"/>
      <c r="AI1872" s="12"/>
      <c r="AJ1872" s="12"/>
      <c r="AK1872" s="12"/>
      <c r="AL1872" s="12"/>
      <c r="AM1872" s="12"/>
      <c r="AN1872" s="12"/>
      <c r="AO1872" s="12"/>
      <c r="AP1872" s="12"/>
      <c r="AQ1872" s="12"/>
      <c r="AR1872" s="12"/>
      <c r="AS1872" s="12"/>
      <c r="AT1872" s="12"/>
      <c r="AU1872" s="12"/>
      <c r="AV1872" s="12"/>
    </row>
    <row r="1873"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  <c r="AC1873" s="12"/>
      <c r="AD1873" s="12"/>
      <c r="AE1873" s="12"/>
      <c r="AF1873" s="12"/>
      <c r="AG1873" s="12"/>
      <c r="AH1873" s="12"/>
      <c r="AI1873" s="12"/>
      <c r="AJ1873" s="12"/>
      <c r="AK1873" s="12"/>
      <c r="AL1873" s="12"/>
      <c r="AM1873" s="12"/>
      <c r="AN1873" s="12"/>
      <c r="AO1873" s="12"/>
      <c r="AP1873" s="12"/>
      <c r="AQ1873" s="12"/>
      <c r="AR1873" s="12"/>
      <c r="AS1873" s="12"/>
      <c r="AT1873" s="12"/>
      <c r="AU1873" s="12"/>
      <c r="AV1873" s="12"/>
    </row>
    <row r="1874"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  <c r="AC1874" s="12"/>
      <c r="AD1874" s="12"/>
      <c r="AE1874" s="12"/>
      <c r="AF1874" s="12"/>
      <c r="AG1874" s="12"/>
      <c r="AH1874" s="12"/>
      <c r="AI1874" s="12"/>
      <c r="AJ1874" s="12"/>
      <c r="AK1874" s="12"/>
      <c r="AL1874" s="12"/>
      <c r="AM1874" s="12"/>
      <c r="AN1874" s="12"/>
      <c r="AO1874" s="12"/>
      <c r="AP1874" s="12"/>
      <c r="AQ1874" s="12"/>
      <c r="AR1874" s="12"/>
      <c r="AS1874" s="12"/>
      <c r="AT1874" s="12"/>
      <c r="AU1874" s="12"/>
      <c r="AV1874" s="12"/>
    </row>
    <row r="1875"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  <c r="AC1875" s="12"/>
      <c r="AD1875" s="12"/>
      <c r="AE1875" s="12"/>
      <c r="AF1875" s="12"/>
      <c r="AG1875" s="12"/>
      <c r="AH1875" s="12"/>
      <c r="AI1875" s="12"/>
      <c r="AJ1875" s="12"/>
      <c r="AK1875" s="12"/>
      <c r="AL1875" s="12"/>
      <c r="AM1875" s="12"/>
      <c r="AN1875" s="12"/>
      <c r="AO1875" s="12"/>
      <c r="AP1875" s="12"/>
      <c r="AQ1875" s="12"/>
      <c r="AR1875" s="12"/>
      <c r="AS1875" s="12"/>
      <c r="AT1875" s="12"/>
      <c r="AU1875" s="12"/>
      <c r="AV1875" s="12"/>
    </row>
    <row r="1876"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  <c r="AC1876" s="12"/>
      <c r="AD1876" s="12"/>
      <c r="AE1876" s="12"/>
      <c r="AF1876" s="12"/>
      <c r="AG1876" s="12"/>
      <c r="AH1876" s="12"/>
      <c r="AI1876" s="12"/>
      <c r="AJ1876" s="12"/>
      <c r="AK1876" s="12"/>
      <c r="AL1876" s="12"/>
      <c r="AM1876" s="12"/>
      <c r="AN1876" s="12"/>
      <c r="AO1876" s="12"/>
      <c r="AP1876" s="12"/>
      <c r="AQ1876" s="12"/>
      <c r="AR1876" s="12"/>
      <c r="AS1876" s="12"/>
      <c r="AT1876" s="12"/>
      <c r="AU1876" s="12"/>
      <c r="AV1876" s="12"/>
    </row>
    <row r="1877"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  <c r="AC1877" s="12"/>
      <c r="AD1877" s="12"/>
      <c r="AE1877" s="12"/>
      <c r="AF1877" s="12"/>
      <c r="AG1877" s="12"/>
      <c r="AH1877" s="12"/>
      <c r="AI1877" s="12"/>
      <c r="AJ1877" s="12"/>
      <c r="AK1877" s="12"/>
      <c r="AL1877" s="12"/>
      <c r="AM1877" s="12"/>
      <c r="AN1877" s="12"/>
      <c r="AO1877" s="12"/>
      <c r="AP1877" s="12"/>
      <c r="AQ1877" s="12"/>
      <c r="AR1877" s="12"/>
      <c r="AS1877" s="12"/>
      <c r="AT1877" s="12"/>
      <c r="AU1877" s="12"/>
      <c r="AV1877" s="12"/>
    </row>
    <row r="1878"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  <c r="AC1878" s="12"/>
      <c r="AD1878" s="12"/>
      <c r="AE1878" s="12"/>
      <c r="AF1878" s="12"/>
      <c r="AG1878" s="12"/>
      <c r="AH1878" s="12"/>
      <c r="AI1878" s="12"/>
      <c r="AJ1878" s="12"/>
      <c r="AK1878" s="12"/>
      <c r="AL1878" s="12"/>
      <c r="AM1878" s="12"/>
      <c r="AN1878" s="12"/>
      <c r="AO1878" s="12"/>
      <c r="AP1878" s="12"/>
      <c r="AQ1878" s="12"/>
      <c r="AR1878" s="12"/>
      <c r="AS1878" s="12"/>
      <c r="AT1878" s="12"/>
      <c r="AU1878" s="12"/>
      <c r="AV1878" s="12"/>
    </row>
    <row r="1879"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  <c r="AC1879" s="12"/>
      <c r="AD1879" s="12"/>
      <c r="AE1879" s="12"/>
      <c r="AF1879" s="12"/>
      <c r="AG1879" s="12"/>
      <c r="AH1879" s="12"/>
      <c r="AI1879" s="12"/>
      <c r="AJ1879" s="12"/>
      <c r="AK1879" s="12"/>
      <c r="AL1879" s="12"/>
      <c r="AM1879" s="12"/>
      <c r="AN1879" s="12"/>
      <c r="AO1879" s="12"/>
      <c r="AP1879" s="12"/>
      <c r="AQ1879" s="12"/>
      <c r="AR1879" s="12"/>
      <c r="AS1879" s="12"/>
      <c r="AT1879" s="12"/>
      <c r="AU1879" s="12"/>
      <c r="AV1879" s="12"/>
    </row>
    <row r="1880"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  <c r="AC1880" s="12"/>
      <c r="AD1880" s="12"/>
      <c r="AE1880" s="12"/>
      <c r="AF1880" s="12"/>
      <c r="AG1880" s="12"/>
      <c r="AH1880" s="12"/>
      <c r="AI1880" s="12"/>
      <c r="AJ1880" s="12"/>
      <c r="AK1880" s="12"/>
      <c r="AL1880" s="12"/>
      <c r="AM1880" s="12"/>
      <c r="AN1880" s="12"/>
      <c r="AO1880" s="12"/>
      <c r="AP1880" s="12"/>
      <c r="AQ1880" s="12"/>
      <c r="AR1880" s="12"/>
      <c r="AS1880" s="12"/>
      <c r="AT1880" s="12"/>
      <c r="AU1880" s="12"/>
      <c r="AV1880" s="12"/>
    </row>
    <row r="1881"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  <c r="AC1881" s="12"/>
      <c r="AD1881" s="12"/>
      <c r="AE1881" s="12"/>
      <c r="AF1881" s="12"/>
      <c r="AG1881" s="12"/>
      <c r="AH1881" s="12"/>
      <c r="AI1881" s="12"/>
      <c r="AJ1881" s="12"/>
      <c r="AK1881" s="12"/>
      <c r="AL1881" s="12"/>
      <c r="AM1881" s="12"/>
      <c r="AN1881" s="12"/>
      <c r="AO1881" s="12"/>
      <c r="AP1881" s="12"/>
      <c r="AQ1881" s="12"/>
      <c r="AR1881" s="12"/>
      <c r="AS1881" s="12"/>
      <c r="AT1881" s="12"/>
      <c r="AU1881" s="12"/>
      <c r="AV1881" s="12"/>
    </row>
    <row r="1882"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  <c r="AC1882" s="12"/>
      <c r="AD1882" s="12"/>
      <c r="AE1882" s="12"/>
      <c r="AF1882" s="12"/>
      <c r="AG1882" s="12"/>
      <c r="AH1882" s="12"/>
      <c r="AI1882" s="12"/>
      <c r="AJ1882" s="12"/>
      <c r="AK1882" s="12"/>
      <c r="AL1882" s="12"/>
      <c r="AM1882" s="12"/>
      <c r="AN1882" s="12"/>
      <c r="AO1882" s="12"/>
      <c r="AP1882" s="12"/>
      <c r="AQ1882" s="12"/>
      <c r="AR1882" s="12"/>
      <c r="AS1882" s="12"/>
      <c r="AT1882" s="12"/>
      <c r="AU1882" s="12"/>
      <c r="AV1882" s="12"/>
    </row>
    <row r="1883"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  <c r="AC1883" s="12"/>
      <c r="AD1883" s="12"/>
      <c r="AE1883" s="12"/>
      <c r="AF1883" s="12"/>
      <c r="AG1883" s="12"/>
      <c r="AH1883" s="12"/>
      <c r="AI1883" s="12"/>
      <c r="AJ1883" s="12"/>
      <c r="AK1883" s="12"/>
      <c r="AL1883" s="12"/>
      <c r="AM1883" s="12"/>
      <c r="AN1883" s="12"/>
      <c r="AO1883" s="12"/>
      <c r="AP1883" s="12"/>
      <c r="AQ1883" s="12"/>
      <c r="AR1883" s="12"/>
      <c r="AS1883" s="12"/>
      <c r="AT1883" s="12"/>
      <c r="AU1883" s="12"/>
      <c r="AV1883" s="12"/>
    </row>
    <row r="1884"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  <c r="AC1884" s="12"/>
      <c r="AD1884" s="12"/>
      <c r="AE1884" s="12"/>
      <c r="AF1884" s="12"/>
      <c r="AG1884" s="12"/>
      <c r="AH1884" s="12"/>
      <c r="AI1884" s="12"/>
      <c r="AJ1884" s="12"/>
      <c r="AK1884" s="12"/>
      <c r="AL1884" s="12"/>
      <c r="AM1884" s="12"/>
      <c r="AN1884" s="12"/>
      <c r="AO1884" s="12"/>
      <c r="AP1884" s="12"/>
      <c r="AQ1884" s="12"/>
      <c r="AR1884" s="12"/>
      <c r="AS1884" s="12"/>
      <c r="AT1884" s="12"/>
      <c r="AU1884" s="12"/>
      <c r="AV1884" s="12"/>
    </row>
    <row r="1885"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  <c r="AC1885" s="12"/>
      <c r="AD1885" s="12"/>
      <c r="AE1885" s="12"/>
      <c r="AF1885" s="12"/>
      <c r="AG1885" s="12"/>
      <c r="AH1885" s="12"/>
      <c r="AI1885" s="12"/>
      <c r="AJ1885" s="12"/>
      <c r="AK1885" s="12"/>
      <c r="AL1885" s="12"/>
      <c r="AM1885" s="12"/>
      <c r="AN1885" s="12"/>
      <c r="AO1885" s="12"/>
      <c r="AP1885" s="12"/>
      <c r="AQ1885" s="12"/>
      <c r="AR1885" s="12"/>
      <c r="AS1885" s="12"/>
      <c r="AT1885" s="12"/>
      <c r="AU1885" s="12"/>
      <c r="AV1885" s="12"/>
    </row>
    <row r="1886"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  <c r="AC1886" s="12"/>
      <c r="AD1886" s="12"/>
      <c r="AE1886" s="12"/>
      <c r="AF1886" s="12"/>
      <c r="AG1886" s="12"/>
      <c r="AH1886" s="12"/>
      <c r="AI1886" s="12"/>
      <c r="AJ1886" s="12"/>
      <c r="AK1886" s="12"/>
      <c r="AL1886" s="12"/>
      <c r="AM1886" s="12"/>
      <c r="AN1886" s="12"/>
      <c r="AO1886" s="12"/>
      <c r="AP1886" s="12"/>
      <c r="AQ1886" s="12"/>
      <c r="AR1886" s="12"/>
      <c r="AS1886" s="12"/>
      <c r="AT1886" s="12"/>
      <c r="AU1886" s="12"/>
      <c r="AV1886" s="12"/>
    </row>
    <row r="1887"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  <c r="AC1887" s="12"/>
      <c r="AD1887" s="12"/>
      <c r="AE1887" s="12"/>
      <c r="AF1887" s="12"/>
      <c r="AG1887" s="12"/>
      <c r="AH1887" s="12"/>
      <c r="AI1887" s="12"/>
      <c r="AJ1887" s="12"/>
      <c r="AK1887" s="12"/>
      <c r="AL1887" s="12"/>
      <c r="AM1887" s="12"/>
      <c r="AN1887" s="12"/>
      <c r="AO1887" s="12"/>
      <c r="AP1887" s="12"/>
      <c r="AQ1887" s="12"/>
      <c r="AR1887" s="12"/>
      <c r="AS1887" s="12"/>
      <c r="AT1887" s="12"/>
      <c r="AU1887" s="12"/>
      <c r="AV1887" s="12"/>
    </row>
    <row r="1888"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  <c r="AC1888" s="12"/>
      <c r="AD1888" s="12"/>
      <c r="AE1888" s="12"/>
      <c r="AF1888" s="12"/>
      <c r="AG1888" s="12"/>
      <c r="AH1888" s="12"/>
      <c r="AI1888" s="12"/>
      <c r="AJ1888" s="12"/>
      <c r="AK1888" s="12"/>
      <c r="AL1888" s="12"/>
      <c r="AM1888" s="12"/>
      <c r="AN1888" s="12"/>
      <c r="AO1888" s="12"/>
      <c r="AP1888" s="12"/>
      <c r="AQ1888" s="12"/>
      <c r="AR1888" s="12"/>
      <c r="AS1888" s="12"/>
      <c r="AT1888" s="12"/>
      <c r="AU1888" s="12"/>
      <c r="AV1888" s="12"/>
    </row>
    <row r="1889"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  <c r="AC1889" s="12"/>
      <c r="AD1889" s="12"/>
      <c r="AE1889" s="12"/>
      <c r="AF1889" s="12"/>
      <c r="AG1889" s="12"/>
      <c r="AH1889" s="12"/>
      <c r="AI1889" s="12"/>
      <c r="AJ1889" s="12"/>
      <c r="AK1889" s="12"/>
      <c r="AL1889" s="12"/>
      <c r="AM1889" s="12"/>
      <c r="AN1889" s="12"/>
      <c r="AO1889" s="12"/>
      <c r="AP1889" s="12"/>
      <c r="AQ1889" s="12"/>
      <c r="AR1889" s="12"/>
      <c r="AS1889" s="12"/>
      <c r="AT1889" s="12"/>
      <c r="AU1889" s="12"/>
      <c r="AV1889" s="12"/>
    </row>
    <row r="1890"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  <c r="AC1890" s="12"/>
      <c r="AD1890" s="12"/>
      <c r="AE1890" s="12"/>
      <c r="AF1890" s="12"/>
      <c r="AG1890" s="12"/>
      <c r="AH1890" s="12"/>
      <c r="AI1890" s="12"/>
      <c r="AJ1890" s="12"/>
      <c r="AK1890" s="12"/>
      <c r="AL1890" s="12"/>
      <c r="AM1890" s="12"/>
      <c r="AN1890" s="12"/>
      <c r="AO1890" s="12"/>
      <c r="AP1890" s="12"/>
      <c r="AQ1890" s="12"/>
      <c r="AR1890" s="12"/>
      <c r="AS1890" s="12"/>
      <c r="AT1890" s="12"/>
      <c r="AU1890" s="12"/>
      <c r="AV1890" s="12"/>
    </row>
    <row r="1891"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  <c r="AC1891" s="12"/>
      <c r="AD1891" s="12"/>
      <c r="AE1891" s="12"/>
      <c r="AF1891" s="12"/>
      <c r="AG1891" s="12"/>
      <c r="AH1891" s="12"/>
      <c r="AI1891" s="12"/>
      <c r="AJ1891" s="12"/>
      <c r="AK1891" s="12"/>
      <c r="AL1891" s="12"/>
      <c r="AM1891" s="12"/>
      <c r="AN1891" s="12"/>
      <c r="AO1891" s="12"/>
      <c r="AP1891" s="12"/>
      <c r="AQ1891" s="12"/>
      <c r="AR1891" s="12"/>
      <c r="AS1891" s="12"/>
      <c r="AT1891" s="12"/>
      <c r="AU1891" s="12"/>
      <c r="AV1891" s="12"/>
    </row>
    <row r="1892"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  <c r="AC1892" s="12"/>
      <c r="AD1892" s="12"/>
      <c r="AE1892" s="12"/>
      <c r="AF1892" s="12"/>
      <c r="AG1892" s="12"/>
      <c r="AH1892" s="12"/>
      <c r="AI1892" s="12"/>
      <c r="AJ1892" s="12"/>
      <c r="AK1892" s="12"/>
      <c r="AL1892" s="12"/>
      <c r="AM1892" s="12"/>
      <c r="AN1892" s="12"/>
      <c r="AO1892" s="12"/>
      <c r="AP1892" s="12"/>
      <c r="AQ1892" s="12"/>
      <c r="AR1892" s="12"/>
      <c r="AS1892" s="12"/>
      <c r="AT1892" s="12"/>
      <c r="AU1892" s="12"/>
      <c r="AV1892" s="12"/>
    </row>
    <row r="1893"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  <c r="AC1893" s="12"/>
      <c r="AD1893" s="12"/>
      <c r="AE1893" s="12"/>
      <c r="AF1893" s="12"/>
      <c r="AG1893" s="12"/>
      <c r="AH1893" s="12"/>
      <c r="AI1893" s="12"/>
      <c r="AJ1893" s="12"/>
      <c r="AK1893" s="12"/>
      <c r="AL1893" s="12"/>
      <c r="AM1893" s="12"/>
      <c r="AN1893" s="12"/>
      <c r="AO1893" s="12"/>
      <c r="AP1893" s="12"/>
      <c r="AQ1893" s="12"/>
      <c r="AR1893" s="12"/>
      <c r="AS1893" s="12"/>
      <c r="AT1893" s="12"/>
      <c r="AU1893" s="12"/>
      <c r="AV1893" s="12"/>
    </row>
    <row r="1894"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  <c r="AC1894" s="12"/>
      <c r="AD1894" s="12"/>
      <c r="AE1894" s="12"/>
      <c r="AF1894" s="12"/>
      <c r="AG1894" s="12"/>
      <c r="AH1894" s="12"/>
      <c r="AI1894" s="12"/>
      <c r="AJ1894" s="12"/>
      <c r="AK1894" s="12"/>
      <c r="AL1894" s="12"/>
      <c r="AM1894" s="12"/>
      <c r="AN1894" s="12"/>
      <c r="AO1894" s="12"/>
      <c r="AP1894" s="12"/>
      <c r="AQ1894" s="12"/>
      <c r="AR1894" s="12"/>
      <c r="AS1894" s="12"/>
      <c r="AT1894" s="12"/>
      <c r="AU1894" s="12"/>
      <c r="AV1894" s="12"/>
    </row>
    <row r="1895"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  <c r="AC1895" s="12"/>
      <c r="AD1895" s="12"/>
      <c r="AE1895" s="12"/>
      <c r="AF1895" s="12"/>
      <c r="AG1895" s="12"/>
      <c r="AH1895" s="12"/>
      <c r="AI1895" s="12"/>
      <c r="AJ1895" s="12"/>
      <c r="AK1895" s="12"/>
      <c r="AL1895" s="12"/>
      <c r="AM1895" s="12"/>
      <c r="AN1895" s="12"/>
      <c r="AO1895" s="12"/>
      <c r="AP1895" s="12"/>
      <c r="AQ1895" s="12"/>
      <c r="AR1895" s="12"/>
      <c r="AS1895" s="12"/>
      <c r="AT1895" s="12"/>
      <c r="AU1895" s="12"/>
      <c r="AV1895" s="12"/>
    </row>
    <row r="1896"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  <c r="AC1896" s="12"/>
      <c r="AD1896" s="12"/>
      <c r="AE1896" s="12"/>
      <c r="AF1896" s="12"/>
      <c r="AG1896" s="12"/>
      <c r="AH1896" s="12"/>
      <c r="AI1896" s="12"/>
      <c r="AJ1896" s="12"/>
      <c r="AK1896" s="12"/>
      <c r="AL1896" s="12"/>
      <c r="AM1896" s="12"/>
      <c r="AN1896" s="12"/>
      <c r="AO1896" s="12"/>
      <c r="AP1896" s="12"/>
      <c r="AQ1896" s="12"/>
      <c r="AR1896" s="12"/>
      <c r="AS1896" s="12"/>
      <c r="AT1896" s="12"/>
      <c r="AU1896" s="12"/>
      <c r="AV1896" s="12"/>
    </row>
    <row r="1897"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  <c r="AC1897" s="12"/>
      <c r="AD1897" s="12"/>
      <c r="AE1897" s="12"/>
      <c r="AF1897" s="12"/>
      <c r="AG1897" s="12"/>
      <c r="AH1897" s="12"/>
      <c r="AI1897" s="12"/>
      <c r="AJ1897" s="12"/>
      <c r="AK1897" s="12"/>
      <c r="AL1897" s="12"/>
      <c r="AM1897" s="12"/>
      <c r="AN1897" s="12"/>
      <c r="AO1897" s="12"/>
      <c r="AP1897" s="12"/>
      <c r="AQ1897" s="12"/>
      <c r="AR1897" s="12"/>
      <c r="AS1897" s="12"/>
      <c r="AT1897" s="12"/>
      <c r="AU1897" s="12"/>
      <c r="AV1897" s="12"/>
    </row>
    <row r="1898"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  <c r="AC1898" s="12"/>
      <c r="AD1898" s="12"/>
      <c r="AE1898" s="12"/>
      <c r="AF1898" s="12"/>
      <c r="AG1898" s="12"/>
      <c r="AH1898" s="12"/>
      <c r="AI1898" s="12"/>
      <c r="AJ1898" s="12"/>
      <c r="AK1898" s="12"/>
      <c r="AL1898" s="12"/>
      <c r="AM1898" s="12"/>
      <c r="AN1898" s="12"/>
      <c r="AO1898" s="12"/>
      <c r="AP1898" s="12"/>
      <c r="AQ1898" s="12"/>
      <c r="AR1898" s="12"/>
      <c r="AS1898" s="12"/>
      <c r="AT1898" s="12"/>
      <c r="AU1898" s="12"/>
      <c r="AV1898" s="12"/>
    </row>
    <row r="1899">
      <c r="S1899" s="12"/>
      <c r="T1899" s="12"/>
      <c r="U1899" s="12"/>
      <c r="V1899" s="12"/>
      <c r="W1899" s="12"/>
      <c r="X1899" s="12"/>
      <c r="Y1899" s="12"/>
      <c r="Z1899" s="12"/>
      <c r="AA1899" s="12"/>
      <c r="AB1899" s="12"/>
      <c r="AC1899" s="12"/>
      <c r="AD1899" s="12"/>
      <c r="AE1899" s="12"/>
      <c r="AF1899" s="12"/>
      <c r="AG1899" s="12"/>
      <c r="AH1899" s="12"/>
      <c r="AI1899" s="12"/>
      <c r="AJ1899" s="12"/>
      <c r="AK1899" s="12"/>
      <c r="AL1899" s="12"/>
      <c r="AM1899" s="12"/>
      <c r="AN1899" s="12"/>
      <c r="AO1899" s="12"/>
      <c r="AP1899" s="12"/>
      <c r="AQ1899" s="12"/>
      <c r="AR1899" s="12"/>
      <c r="AS1899" s="12"/>
      <c r="AT1899" s="12"/>
      <c r="AU1899" s="12"/>
      <c r="AV1899" s="12"/>
    </row>
    <row r="1900"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  <c r="AC1900" s="12"/>
      <c r="AD1900" s="12"/>
      <c r="AE1900" s="12"/>
      <c r="AF1900" s="12"/>
      <c r="AG1900" s="12"/>
      <c r="AH1900" s="12"/>
      <c r="AI1900" s="12"/>
      <c r="AJ1900" s="12"/>
      <c r="AK1900" s="12"/>
      <c r="AL1900" s="12"/>
      <c r="AM1900" s="12"/>
      <c r="AN1900" s="12"/>
      <c r="AO1900" s="12"/>
      <c r="AP1900" s="12"/>
      <c r="AQ1900" s="12"/>
      <c r="AR1900" s="12"/>
      <c r="AS1900" s="12"/>
      <c r="AT1900" s="12"/>
      <c r="AU1900" s="12"/>
      <c r="AV1900" s="12"/>
    </row>
    <row r="1901"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  <c r="AC1901" s="12"/>
      <c r="AD1901" s="12"/>
      <c r="AE1901" s="12"/>
      <c r="AF1901" s="12"/>
      <c r="AG1901" s="12"/>
      <c r="AH1901" s="12"/>
      <c r="AI1901" s="12"/>
      <c r="AJ1901" s="12"/>
      <c r="AK1901" s="12"/>
      <c r="AL1901" s="12"/>
      <c r="AM1901" s="12"/>
      <c r="AN1901" s="12"/>
      <c r="AO1901" s="12"/>
      <c r="AP1901" s="12"/>
      <c r="AQ1901" s="12"/>
      <c r="AR1901" s="12"/>
      <c r="AS1901" s="12"/>
      <c r="AT1901" s="12"/>
      <c r="AU1901" s="12"/>
      <c r="AV1901" s="12"/>
    </row>
    <row r="1902">
      <c r="S1902" s="12"/>
      <c r="T1902" s="12"/>
      <c r="U1902" s="12"/>
      <c r="V1902" s="12"/>
      <c r="W1902" s="12"/>
      <c r="X1902" s="12"/>
      <c r="Y1902" s="12"/>
      <c r="Z1902" s="12"/>
      <c r="AA1902" s="12"/>
      <c r="AB1902" s="12"/>
      <c r="AC1902" s="12"/>
      <c r="AD1902" s="12"/>
      <c r="AE1902" s="12"/>
      <c r="AF1902" s="12"/>
      <c r="AG1902" s="12"/>
      <c r="AH1902" s="12"/>
      <c r="AI1902" s="12"/>
      <c r="AJ1902" s="12"/>
      <c r="AK1902" s="12"/>
      <c r="AL1902" s="12"/>
      <c r="AM1902" s="12"/>
      <c r="AN1902" s="12"/>
      <c r="AO1902" s="12"/>
      <c r="AP1902" s="12"/>
      <c r="AQ1902" s="12"/>
      <c r="AR1902" s="12"/>
      <c r="AS1902" s="12"/>
      <c r="AT1902" s="12"/>
      <c r="AU1902" s="12"/>
      <c r="AV1902" s="12"/>
    </row>
    <row r="1903">
      <c r="S1903" s="12"/>
      <c r="T1903" s="12"/>
      <c r="U1903" s="12"/>
      <c r="V1903" s="12"/>
      <c r="W1903" s="12"/>
      <c r="X1903" s="12"/>
      <c r="Y1903" s="12"/>
      <c r="Z1903" s="12"/>
      <c r="AA1903" s="12"/>
      <c r="AB1903" s="12"/>
      <c r="AC1903" s="12"/>
      <c r="AD1903" s="12"/>
      <c r="AE1903" s="12"/>
      <c r="AF1903" s="12"/>
      <c r="AG1903" s="12"/>
      <c r="AH1903" s="12"/>
      <c r="AI1903" s="12"/>
      <c r="AJ1903" s="12"/>
      <c r="AK1903" s="12"/>
      <c r="AL1903" s="12"/>
      <c r="AM1903" s="12"/>
      <c r="AN1903" s="12"/>
      <c r="AO1903" s="12"/>
      <c r="AP1903" s="12"/>
      <c r="AQ1903" s="12"/>
      <c r="AR1903" s="12"/>
      <c r="AS1903" s="12"/>
      <c r="AT1903" s="12"/>
      <c r="AU1903" s="12"/>
      <c r="AV1903" s="12"/>
    </row>
    <row r="1904">
      <c r="S1904" s="12"/>
      <c r="T1904" s="12"/>
      <c r="U1904" s="12"/>
      <c r="V1904" s="12"/>
      <c r="W1904" s="12"/>
      <c r="X1904" s="12"/>
      <c r="Y1904" s="12"/>
      <c r="Z1904" s="12"/>
      <c r="AA1904" s="12"/>
      <c r="AB1904" s="12"/>
      <c r="AC1904" s="12"/>
      <c r="AD1904" s="12"/>
      <c r="AE1904" s="12"/>
      <c r="AF1904" s="12"/>
      <c r="AG1904" s="12"/>
      <c r="AH1904" s="12"/>
      <c r="AI1904" s="12"/>
      <c r="AJ1904" s="12"/>
      <c r="AK1904" s="12"/>
      <c r="AL1904" s="12"/>
      <c r="AM1904" s="12"/>
      <c r="AN1904" s="12"/>
      <c r="AO1904" s="12"/>
      <c r="AP1904" s="12"/>
      <c r="AQ1904" s="12"/>
      <c r="AR1904" s="12"/>
      <c r="AS1904" s="12"/>
      <c r="AT1904" s="12"/>
      <c r="AU1904" s="12"/>
      <c r="AV1904" s="12"/>
    </row>
    <row r="1905"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  <c r="AC1905" s="12"/>
      <c r="AD1905" s="12"/>
      <c r="AE1905" s="12"/>
      <c r="AF1905" s="12"/>
      <c r="AG1905" s="12"/>
      <c r="AH1905" s="12"/>
      <c r="AI1905" s="12"/>
      <c r="AJ1905" s="12"/>
      <c r="AK1905" s="12"/>
      <c r="AL1905" s="12"/>
      <c r="AM1905" s="12"/>
      <c r="AN1905" s="12"/>
      <c r="AO1905" s="12"/>
      <c r="AP1905" s="12"/>
      <c r="AQ1905" s="12"/>
      <c r="AR1905" s="12"/>
      <c r="AS1905" s="12"/>
      <c r="AT1905" s="12"/>
      <c r="AU1905" s="12"/>
      <c r="AV1905" s="12"/>
    </row>
    <row r="1906"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  <c r="AC1906" s="12"/>
      <c r="AD1906" s="12"/>
      <c r="AE1906" s="12"/>
      <c r="AF1906" s="12"/>
      <c r="AG1906" s="12"/>
      <c r="AH1906" s="12"/>
      <c r="AI1906" s="12"/>
      <c r="AJ1906" s="12"/>
      <c r="AK1906" s="12"/>
      <c r="AL1906" s="12"/>
      <c r="AM1906" s="12"/>
      <c r="AN1906" s="12"/>
      <c r="AO1906" s="12"/>
      <c r="AP1906" s="12"/>
      <c r="AQ1906" s="12"/>
      <c r="AR1906" s="12"/>
      <c r="AS1906" s="12"/>
      <c r="AT1906" s="12"/>
      <c r="AU1906" s="12"/>
      <c r="AV1906" s="12"/>
    </row>
    <row r="1907">
      <c r="S1907" s="12"/>
      <c r="T1907" s="12"/>
      <c r="U1907" s="12"/>
      <c r="V1907" s="12"/>
      <c r="W1907" s="12"/>
      <c r="X1907" s="12"/>
      <c r="Y1907" s="12"/>
      <c r="Z1907" s="12"/>
      <c r="AA1907" s="12"/>
      <c r="AB1907" s="12"/>
      <c r="AC1907" s="12"/>
      <c r="AD1907" s="12"/>
      <c r="AE1907" s="12"/>
      <c r="AF1907" s="12"/>
      <c r="AG1907" s="12"/>
      <c r="AH1907" s="12"/>
      <c r="AI1907" s="12"/>
      <c r="AJ1907" s="12"/>
      <c r="AK1907" s="12"/>
      <c r="AL1907" s="12"/>
      <c r="AM1907" s="12"/>
      <c r="AN1907" s="12"/>
      <c r="AO1907" s="12"/>
      <c r="AP1907" s="12"/>
      <c r="AQ1907" s="12"/>
      <c r="AR1907" s="12"/>
      <c r="AS1907" s="12"/>
      <c r="AT1907" s="12"/>
      <c r="AU1907" s="12"/>
      <c r="AV1907" s="12"/>
    </row>
    <row r="1908"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  <c r="AC1908" s="12"/>
      <c r="AD1908" s="12"/>
      <c r="AE1908" s="12"/>
      <c r="AF1908" s="12"/>
      <c r="AG1908" s="12"/>
      <c r="AH1908" s="12"/>
      <c r="AI1908" s="12"/>
      <c r="AJ1908" s="12"/>
      <c r="AK1908" s="12"/>
      <c r="AL1908" s="12"/>
      <c r="AM1908" s="12"/>
      <c r="AN1908" s="12"/>
      <c r="AO1908" s="12"/>
      <c r="AP1908" s="12"/>
      <c r="AQ1908" s="12"/>
      <c r="AR1908" s="12"/>
      <c r="AS1908" s="12"/>
      <c r="AT1908" s="12"/>
      <c r="AU1908" s="12"/>
      <c r="AV1908" s="12"/>
    </row>
    <row r="1909">
      <c r="S1909" s="12"/>
      <c r="T1909" s="12"/>
      <c r="U1909" s="12"/>
      <c r="V1909" s="12"/>
      <c r="W1909" s="12"/>
      <c r="X1909" s="12"/>
      <c r="Y1909" s="12"/>
      <c r="Z1909" s="12"/>
      <c r="AA1909" s="12"/>
      <c r="AB1909" s="12"/>
      <c r="AC1909" s="12"/>
      <c r="AD1909" s="12"/>
      <c r="AE1909" s="12"/>
      <c r="AF1909" s="12"/>
      <c r="AG1909" s="12"/>
      <c r="AH1909" s="12"/>
      <c r="AI1909" s="12"/>
      <c r="AJ1909" s="12"/>
      <c r="AK1909" s="12"/>
      <c r="AL1909" s="12"/>
      <c r="AM1909" s="12"/>
      <c r="AN1909" s="12"/>
      <c r="AO1909" s="12"/>
      <c r="AP1909" s="12"/>
      <c r="AQ1909" s="12"/>
      <c r="AR1909" s="12"/>
      <c r="AS1909" s="12"/>
      <c r="AT1909" s="12"/>
      <c r="AU1909" s="12"/>
      <c r="AV1909" s="12"/>
    </row>
    <row r="1910"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  <c r="AC1910" s="12"/>
      <c r="AD1910" s="12"/>
      <c r="AE1910" s="12"/>
      <c r="AF1910" s="12"/>
      <c r="AG1910" s="12"/>
      <c r="AH1910" s="12"/>
      <c r="AI1910" s="12"/>
      <c r="AJ1910" s="12"/>
      <c r="AK1910" s="12"/>
      <c r="AL1910" s="12"/>
      <c r="AM1910" s="12"/>
      <c r="AN1910" s="12"/>
      <c r="AO1910" s="12"/>
      <c r="AP1910" s="12"/>
      <c r="AQ1910" s="12"/>
      <c r="AR1910" s="12"/>
      <c r="AS1910" s="12"/>
      <c r="AT1910" s="12"/>
      <c r="AU1910" s="12"/>
      <c r="AV1910" s="12"/>
    </row>
    <row r="1911"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  <c r="AC1911" s="12"/>
      <c r="AD1911" s="12"/>
      <c r="AE1911" s="12"/>
      <c r="AF1911" s="12"/>
      <c r="AG1911" s="12"/>
      <c r="AH1911" s="12"/>
      <c r="AI1911" s="12"/>
      <c r="AJ1911" s="12"/>
      <c r="AK1911" s="12"/>
      <c r="AL1911" s="12"/>
      <c r="AM1911" s="12"/>
      <c r="AN1911" s="12"/>
      <c r="AO1911" s="12"/>
      <c r="AP1911" s="12"/>
      <c r="AQ1911" s="12"/>
      <c r="AR1911" s="12"/>
      <c r="AS1911" s="12"/>
      <c r="AT1911" s="12"/>
      <c r="AU1911" s="12"/>
      <c r="AV1911" s="12"/>
    </row>
    <row r="1912">
      <c r="S1912" s="12"/>
      <c r="T1912" s="12"/>
      <c r="U1912" s="12"/>
      <c r="V1912" s="12"/>
      <c r="W1912" s="12"/>
      <c r="X1912" s="12"/>
      <c r="Y1912" s="12"/>
      <c r="Z1912" s="12"/>
      <c r="AA1912" s="12"/>
      <c r="AB1912" s="12"/>
      <c r="AC1912" s="12"/>
      <c r="AD1912" s="12"/>
      <c r="AE1912" s="12"/>
      <c r="AF1912" s="12"/>
      <c r="AG1912" s="12"/>
      <c r="AH1912" s="12"/>
      <c r="AI1912" s="12"/>
      <c r="AJ1912" s="12"/>
      <c r="AK1912" s="12"/>
      <c r="AL1912" s="12"/>
      <c r="AM1912" s="12"/>
      <c r="AN1912" s="12"/>
      <c r="AO1912" s="12"/>
      <c r="AP1912" s="12"/>
      <c r="AQ1912" s="12"/>
      <c r="AR1912" s="12"/>
      <c r="AS1912" s="12"/>
      <c r="AT1912" s="12"/>
      <c r="AU1912" s="12"/>
      <c r="AV1912" s="12"/>
    </row>
    <row r="1913">
      <c r="S1913" s="12"/>
      <c r="T1913" s="12"/>
      <c r="U1913" s="12"/>
      <c r="V1913" s="12"/>
      <c r="W1913" s="12"/>
      <c r="X1913" s="12"/>
      <c r="Y1913" s="12"/>
      <c r="Z1913" s="12"/>
      <c r="AA1913" s="12"/>
      <c r="AB1913" s="12"/>
      <c r="AC1913" s="12"/>
      <c r="AD1913" s="12"/>
      <c r="AE1913" s="12"/>
      <c r="AF1913" s="12"/>
      <c r="AG1913" s="12"/>
      <c r="AH1913" s="12"/>
      <c r="AI1913" s="12"/>
      <c r="AJ1913" s="12"/>
      <c r="AK1913" s="12"/>
      <c r="AL1913" s="12"/>
      <c r="AM1913" s="12"/>
      <c r="AN1913" s="12"/>
      <c r="AO1913" s="12"/>
      <c r="AP1913" s="12"/>
      <c r="AQ1913" s="12"/>
      <c r="AR1913" s="12"/>
      <c r="AS1913" s="12"/>
      <c r="AT1913" s="12"/>
      <c r="AU1913" s="12"/>
      <c r="AV1913" s="12"/>
    </row>
    <row r="1914"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  <c r="AC1914" s="12"/>
      <c r="AD1914" s="12"/>
      <c r="AE1914" s="12"/>
      <c r="AF1914" s="12"/>
      <c r="AG1914" s="12"/>
      <c r="AH1914" s="12"/>
      <c r="AI1914" s="12"/>
      <c r="AJ1914" s="12"/>
      <c r="AK1914" s="12"/>
      <c r="AL1914" s="12"/>
      <c r="AM1914" s="12"/>
      <c r="AN1914" s="12"/>
      <c r="AO1914" s="12"/>
      <c r="AP1914" s="12"/>
      <c r="AQ1914" s="12"/>
      <c r="AR1914" s="12"/>
      <c r="AS1914" s="12"/>
      <c r="AT1914" s="12"/>
      <c r="AU1914" s="12"/>
      <c r="AV1914" s="12"/>
    </row>
    <row r="1915"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  <c r="AC1915" s="12"/>
      <c r="AD1915" s="12"/>
      <c r="AE1915" s="12"/>
      <c r="AF1915" s="12"/>
      <c r="AG1915" s="12"/>
      <c r="AH1915" s="12"/>
      <c r="AI1915" s="12"/>
      <c r="AJ1915" s="12"/>
      <c r="AK1915" s="12"/>
      <c r="AL1915" s="12"/>
      <c r="AM1915" s="12"/>
      <c r="AN1915" s="12"/>
      <c r="AO1915" s="12"/>
      <c r="AP1915" s="12"/>
      <c r="AQ1915" s="12"/>
      <c r="AR1915" s="12"/>
      <c r="AS1915" s="12"/>
      <c r="AT1915" s="12"/>
      <c r="AU1915" s="12"/>
      <c r="AV1915" s="12"/>
    </row>
    <row r="1916"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  <c r="AC1916" s="12"/>
      <c r="AD1916" s="12"/>
      <c r="AE1916" s="12"/>
      <c r="AF1916" s="12"/>
      <c r="AG1916" s="12"/>
      <c r="AH1916" s="12"/>
      <c r="AI1916" s="12"/>
      <c r="AJ1916" s="12"/>
      <c r="AK1916" s="12"/>
      <c r="AL1916" s="12"/>
      <c r="AM1916" s="12"/>
      <c r="AN1916" s="12"/>
      <c r="AO1916" s="12"/>
      <c r="AP1916" s="12"/>
      <c r="AQ1916" s="12"/>
      <c r="AR1916" s="12"/>
      <c r="AS1916" s="12"/>
      <c r="AT1916" s="12"/>
      <c r="AU1916" s="12"/>
      <c r="AV1916" s="12"/>
    </row>
    <row r="1917"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  <c r="AC1917" s="12"/>
      <c r="AD1917" s="12"/>
      <c r="AE1917" s="12"/>
      <c r="AF1917" s="12"/>
      <c r="AG1917" s="12"/>
      <c r="AH1917" s="12"/>
      <c r="AI1917" s="12"/>
      <c r="AJ1917" s="12"/>
      <c r="AK1917" s="12"/>
      <c r="AL1917" s="12"/>
      <c r="AM1917" s="12"/>
      <c r="AN1917" s="12"/>
      <c r="AO1917" s="12"/>
      <c r="AP1917" s="12"/>
      <c r="AQ1917" s="12"/>
      <c r="AR1917" s="12"/>
      <c r="AS1917" s="12"/>
      <c r="AT1917" s="12"/>
      <c r="AU1917" s="12"/>
      <c r="AV1917" s="12"/>
    </row>
    <row r="1918"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  <c r="AC1918" s="12"/>
      <c r="AD1918" s="12"/>
      <c r="AE1918" s="12"/>
      <c r="AF1918" s="12"/>
      <c r="AG1918" s="12"/>
      <c r="AH1918" s="12"/>
      <c r="AI1918" s="12"/>
      <c r="AJ1918" s="12"/>
      <c r="AK1918" s="12"/>
      <c r="AL1918" s="12"/>
      <c r="AM1918" s="12"/>
      <c r="AN1918" s="12"/>
      <c r="AO1918" s="12"/>
      <c r="AP1918" s="12"/>
      <c r="AQ1918" s="12"/>
      <c r="AR1918" s="12"/>
      <c r="AS1918" s="12"/>
      <c r="AT1918" s="12"/>
      <c r="AU1918" s="12"/>
      <c r="AV1918" s="12"/>
    </row>
    <row r="1919"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  <c r="AC1919" s="12"/>
      <c r="AD1919" s="12"/>
      <c r="AE1919" s="12"/>
      <c r="AF1919" s="12"/>
      <c r="AG1919" s="12"/>
      <c r="AH1919" s="12"/>
      <c r="AI1919" s="12"/>
      <c r="AJ1919" s="12"/>
      <c r="AK1919" s="12"/>
      <c r="AL1919" s="12"/>
      <c r="AM1919" s="12"/>
      <c r="AN1919" s="12"/>
      <c r="AO1919" s="12"/>
      <c r="AP1919" s="12"/>
      <c r="AQ1919" s="12"/>
      <c r="AR1919" s="12"/>
      <c r="AS1919" s="12"/>
      <c r="AT1919" s="12"/>
      <c r="AU1919" s="12"/>
      <c r="AV1919" s="12"/>
    </row>
    <row r="1920"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  <c r="AC1920" s="12"/>
      <c r="AD1920" s="12"/>
      <c r="AE1920" s="12"/>
      <c r="AF1920" s="12"/>
      <c r="AG1920" s="12"/>
      <c r="AH1920" s="12"/>
      <c r="AI1920" s="12"/>
      <c r="AJ1920" s="12"/>
      <c r="AK1920" s="12"/>
      <c r="AL1920" s="12"/>
      <c r="AM1920" s="12"/>
      <c r="AN1920" s="12"/>
      <c r="AO1920" s="12"/>
      <c r="AP1920" s="12"/>
      <c r="AQ1920" s="12"/>
      <c r="AR1920" s="12"/>
      <c r="AS1920" s="12"/>
      <c r="AT1920" s="12"/>
      <c r="AU1920" s="12"/>
      <c r="AV1920" s="12"/>
    </row>
    <row r="1921"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  <c r="AC1921" s="12"/>
      <c r="AD1921" s="12"/>
      <c r="AE1921" s="12"/>
      <c r="AF1921" s="12"/>
      <c r="AG1921" s="12"/>
      <c r="AH1921" s="12"/>
      <c r="AI1921" s="12"/>
      <c r="AJ1921" s="12"/>
      <c r="AK1921" s="12"/>
      <c r="AL1921" s="12"/>
      <c r="AM1921" s="12"/>
      <c r="AN1921" s="12"/>
      <c r="AO1921" s="12"/>
      <c r="AP1921" s="12"/>
      <c r="AQ1921" s="12"/>
      <c r="AR1921" s="12"/>
      <c r="AS1921" s="12"/>
      <c r="AT1921" s="12"/>
      <c r="AU1921" s="12"/>
      <c r="AV1921" s="12"/>
    </row>
    <row r="1922"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  <c r="AC1922" s="12"/>
      <c r="AD1922" s="12"/>
      <c r="AE1922" s="12"/>
      <c r="AF1922" s="12"/>
      <c r="AG1922" s="12"/>
      <c r="AH1922" s="12"/>
      <c r="AI1922" s="12"/>
      <c r="AJ1922" s="12"/>
      <c r="AK1922" s="12"/>
      <c r="AL1922" s="12"/>
      <c r="AM1922" s="12"/>
      <c r="AN1922" s="12"/>
      <c r="AO1922" s="12"/>
      <c r="AP1922" s="12"/>
      <c r="AQ1922" s="12"/>
      <c r="AR1922" s="12"/>
      <c r="AS1922" s="12"/>
      <c r="AT1922" s="12"/>
      <c r="AU1922" s="12"/>
      <c r="AV1922" s="12"/>
    </row>
    <row r="1923"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  <c r="AC1923" s="12"/>
      <c r="AD1923" s="12"/>
      <c r="AE1923" s="12"/>
      <c r="AF1923" s="12"/>
      <c r="AG1923" s="12"/>
      <c r="AH1923" s="12"/>
      <c r="AI1923" s="12"/>
      <c r="AJ1923" s="12"/>
      <c r="AK1923" s="12"/>
      <c r="AL1923" s="12"/>
      <c r="AM1923" s="12"/>
      <c r="AN1923" s="12"/>
      <c r="AO1923" s="12"/>
      <c r="AP1923" s="12"/>
      <c r="AQ1923" s="12"/>
      <c r="AR1923" s="12"/>
      <c r="AS1923" s="12"/>
      <c r="AT1923" s="12"/>
      <c r="AU1923" s="12"/>
      <c r="AV1923" s="12"/>
    </row>
    <row r="1924"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  <c r="AC1924" s="12"/>
      <c r="AD1924" s="12"/>
      <c r="AE1924" s="12"/>
      <c r="AF1924" s="12"/>
      <c r="AG1924" s="12"/>
      <c r="AH1924" s="12"/>
      <c r="AI1924" s="12"/>
      <c r="AJ1924" s="12"/>
      <c r="AK1924" s="12"/>
      <c r="AL1924" s="12"/>
      <c r="AM1924" s="12"/>
      <c r="AN1924" s="12"/>
      <c r="AO1924" s="12"/>
      <c r="AP1924" s="12"/>
      <c r="AQ1924" s="12"/>
      <c r="AR1924" s="12"/>
      <c r="AS1924" s="12"/>
      <c r="AT1924" s="12"/>
      <c r="AU1924" s="12"/>
      <c r="AV1924" s="12"/>
    </row>
    <row r="1925"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  <c r="AC1925" s="12"/>
      <c r="AD1925" s="12"/>
      <c r="AE1925" s="12"/>
      <c r="AF1925" s="12"/>
      <c r="AG1925" s="12"/>
      <c r="AH1925" s="12"/>
      <c r="AI1925" s="12"/>
      <c r="AJ1925" s="12"/>
      <c r="AK1925" s="12"/>
      <c r="AL1925" s="12"/>
      <c r="AM1925" s="12"/>
      <c r="AN1925" s="12"/>
      <c r="AO1925" s="12"/>
      <c r="AP1925" s="12"/>
      <c r="AQ1925" s="12"/>
      <c r="AR1925" s="12"/>
      <c r="AS1925" s="12"/>
      <c r="AT1925" s="12"/>
      <c r="AU1925" s="12"/>
      <c r="AV1925" s="12"/>
    </row>
    <row r="1926"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  <c r="AC1926" s="12"/>
      <c r="AD1926" s="12"/>
      <c r="AE1926" s="12"/>
      <c r="AF1926" s="12"/>
      <c r="AG1926" s="12"/>
      <c r="AH1926" s="12"/>
      <c r="AI1926" s="12"/>
      <c r="AJ1926" s="12"/>
      <c r="AK1926" s="12"/>
      <c r="AL1926" s="12"/>
      <c r="AM1926" s="12"/>
      <c r="AN1926" s="12"/>
      <c r="AO1926" s="12"/>
      <c r="AP1926" s="12"/>
      <c r="AQ1926" s="12"/>
      <c r="AR1926" s="12"/>
      <c r="AS1926" s="12"/>
      <c r="AT1926" s="12"/>
      <c r="AU1926" s="12"/>
      <c r="AV1926" s="12"/>
    </row>
    <row r="1927"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  <c r="AC1927" s="12"/>
      <c r="AD1927" s="12"/>
      <c r="AE1927" s="12"/>
      <c r="AF1927" s="12"/>
      <c r="AG1927" s="12"/>
      <c r="AH1927" s="12"/>
      <c r="AI1927" s="12"/>
      <c r="AJ1927" s="12"/>
      <c r="AK1927" s="12"/>
      <c r="AL1927" s="12"/>
      <c r="AM1927" s="12"/>
      <c r="AN1927" s="12"/>
      <c r="AO1927" s="12"/>
      <c r="AP1927" s="12"/>
      <c r="AQ1927" s="12"/>
      <c r="AR1927" s="12"/>
      <c r="AS1927" s="12"/>
      <c r="AT1927" s="12"/>
      <c r="AU1927" s="12"/>
      <c r="AV1927" s="12"/>
    </row>
    <row r="1928"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  <c r="AC1928" s="12"/>
      <c r="AD1928" s="12"/>
      <c r="AE1928" s="12"/>
      <c r="AF1928" s="12"/>
      <c r="AG1928" s="12"/>
      <c r="AH1928" s="12"/>
      <c r="AI1928" s="12"/>
      <c r="AJ1928" s="12"/>
      <c r="AK1928" s="12"/>
      <c r="AL1928" s="12"/>
      <c r="AM1928" s="12"/>
      <c r="AN1928" s="12"/>
      <c r="AO1928" s="12"/>
      <c r="AP1928" s="12"/>
      <c r="AQ1928" s="12"/>
      <c r="AR1928" s="12"/>
      <c r="AS1928" s="12"/>
      <c r="AT1928" s="12"/>
      <c r="AU1928" s="12"/>
      <c r="AV1928" s="12"/>
    </row>
    <row r="1929">
      <c r="S1929" s="12"/>
      <c r="T1929" s="12"/>
      <c r="U1929" s="12"/>
      <c r="V1929" s="12"/>
      <c r="W1929" s="12"/>
      <c r="X1929" s="12"/>
      <c r="Y1929" s="12"/>
      <c r="Z1929" s="12"/>
      <c r="AA1929" s="12"/>
      <c r="AB1929" s="12"/>
      <c r="AC1929" s="12"/>
      <c r="AD1929" s="12"/>
      <c r="AE1929" s="12"/>
      <c r="AF1929" s="12"/>
      <c r="AG1929" s="12"/>
      <c r="AH1929" s="12"/>
      <c r="AI1929" s="12"/>
      <c r="AJ1929" s="12"/>
      <c r="AK1929" s="12"/>
      <c r="AL1929" s="12"/>
      <c r="AM1929" s="12"/>
      <c r="AN1929" s="12"/>
      <c r="AO1929" s="12"/>
      <c r="AP1929" s="12"/>
      <c r="AQ1929" s="12"/>
      <c r="AR1929" s="12"/>
      <c r="AS1929" s="12"/>
      <c r="AT1929" s="12"/>
      <c r="AU1929" s="12"/>
      <c r="AV1929" s="12"/>
    </row>
    <row r="1930">
      <c r="S1930" s="12"/>
      <c r="T1930" s="12"/>
      <c r="U1930" s="12"/>
      <c r="V1930" s="12"/>
      <c r="W1930" s="12"/>
      <c r="X1930" s="12"/>
      <c r="Y1930" s="12"/>
      <c r="Z1930" s="12"/>
      <c r="AA1930" s="12"/>
      <c r="AB1930" s="12"/>
      <c r="AC1930" s="12"/>
      <c r="AD1930" s="12"/>
      <c r="AE1930" s="12"/>
      <c r="AF1930" s="12"/>
      <c r="AG1930" s="12"/>
      <c r="AH1930" s="12"/>
      <c r="AI1930" s="12"/>
      <c r="AJ1930" s="12"/>
      <c r="AK1930" s="12"/>
      <c r="AL1930" s="12"/>
      <c r="AM1930" s="12"/>
      <c r="AN1930" s="12"/>
      <c r="AO1930" s="12"/>
      <c r="AP1930" s="12"/>
      <c r="AQ1930" s="12"/>
      <c r="AR1930" s="12"/>
      <c r="AS1930" s="12"/>
      <c r="AT1930" s="12"/>
      <c r="AU1930" s="12"/>
      <c r="AV1930" s="12"/>
    </row>
    <row r="1931">
      <c r="S1931" s="12"/>
      <c r="T1931" s="12"/>
      <c r="U1931" s="12"/>
      <c r="V1931" s="12"/>
      <c r="W1931" s="12"/>
      <c r="X1931" s="12"/>
      <c r="Y1931" s="12"/>
      <c r="Z1931" s="12"/>
      <c r="AA1931" s="12"/>
      <c r="AB1931" s="12"/>
      <c r="AC1931" s="12"/>
      <c r="AD1931" s="12"/>
      <c r="AE1931" s="12"/>
      <c r="AF1931" s="12"/>
      <c r="AG1931" s="12"/>
      <c r="AH1931" s="12"/>
      <c r="AI1931" s="12"/>
      <c r="AJ1931" s="12"/>
      <c r="AK1931" s="12"/>
      <c r="AL1931" s="12"/>
      <c r="AM1931" s="12"/>
      <c r="AN1931" s="12"/>
      <c r="AO1931" s="12"/>
      <c r="AP1931" s="12"/>
      <c r="AQ1931" s="12"/>
      <c r="AR1931" s="12"/>
      <c r="AS1931" s="12"/>
      <c r="AT1931" s="12"/>
      <c r="AU1931" s="12"/>
      <c r="AV1931" s="12"/>
    </row>
    <row r="1932"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  <c r="AC1932" s="12"/>
      <c r="AD1932" s="12"/>
      <c r="AE1932" s="12"/>
      <c r="AF1932" s="12"/>
      <c r="AG1932" s="12"/>
      <c r="AH1932" s="12"/>
      <c r="AI1932" s="12"/>
      <c r="AJ1932" s="12"/>
      <c r="AK1932" s="12"/>
      <c r="AL1932" s="12"/>
      <c r="AM1932" s="12"/>
      <c r="AN1932" s="12"/>
      <c r="AO1932" s="12"/>
      <c r="AP1932" s="12"/>
      <c r="AQ1932" s="12"/>
      <c r="AR1932" s="12"/>
      <c r="AS1932" s="12"/>
      <c r="AT1932" s="12"/>
      <c r="AU1932" s="12"/>
      <c r="AV1932" s="12"/>
    </row>
    <row r="1933"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  <c r="AC1933" s="12"/>
      <c r="AD1933" s="12"/>
      <c r="AE1933" s="12"/>
      <c r="AF1933" s="12"/>
      <c r="AG1933" s="12"/>
      <c r="AH1933" s="12"/>
      <c r="AI1933" s="12"/>
      <c r="AJ1933" s="12"/>
      <c r="AK1933" s="12"/>
      <c r="AL1933" s="12"/>
      <c r="AM1933" s="12"/>
      <c r="AN1933" s="12"/>
      <c r="AO1933" s="12"/>
      <c r="AP1933" s="12"/>
      <c r="AQ1933" s="12"/>
      <c r="AR1933" s="12"/>
      <c r="AS1933" s="12"/>
      <c r="AT1933" s="12"/>
      <c r="AU1933" s="12"/>
      <c r="AV1933" s="12"/>
    </row>
    <row r="1934"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  <c r="AC1934" s="12"/>
      <c r="AD1934" s="12"/>
      <c r="AE1934" s="12"/>
      <c r="AF1934" s="12"/>
      <c r="AG1934" s="12"/>
      <c r="AH1934" s="12"/>
      <c r="AI1934" s="12"/>
      <c r="AJ1934" s="12"/>
      <c r="AK1934" s="12"/>
      <c r="AL1934" s="12"/>
      <c r="AM1934" s="12"/>
      <c r="AN1934" s="12"/>
      <c r="AO1934" s="12"/>
      <c r="AP1934" s="12"/>
      <c r="AQ1934" s="12"/>
      <c r="AR1934" s="12"/>
      <c r="AS1934" s="12"/>
      <c r="AT1934" s="12"/>
      <c r="AU1934" s="12"/>
      <c r="AV1934" s="12"/>
    </row>
    <row r="1935"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  <c r="AC1935" s="12"/>
      <c r="AD1935" s="12"/>
      <c r="AE1935" s="12"/>
      <c r="AF1935" s="12"/>
      <c r="AG1935" s="12"/>
      <c r="AH1935" s="12"/>
      <c r="AI1935" s="12"/>
      <c r="AJ1935" s="12"/>
      <c r="AK1935" s="12"/>
      <c r="AL1935" s="12"/>
      <c r="AM1935" s="12"/>
      <c r="AN1935" s="12"/>
      <c r="AO1935" s="12"/>
      <c r="AP1935" s="12"/>
      <c r="AQ1935" s="12"/>
      <c r="AR1935" s="12"/>
      <c r="AS1935" s="12"/>
      <c r="AT1935" s="12"/>
      <c r="AU1935" s="12"/>
      <c r="AV1935" s="12"/>
    </row>
    <row r="1936"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  <c r="AC1936" s="12"/>
      <c r="AD1936" s="12"/>
      <c r="AE1936" s="12"/>
      <c r="AF1936" s="12"/>
      <c r="AG1936" s="12"/>
      <c r="AH1936" s="12"/>
      <c r="AI1936" s="12"/>
      <c r="AJ1936" s="12"/>
      <c r="AK1936" s="12"/>
      <c r="AL1936" s="12"/>
      <c r="AM1936" s="12"/>
      <c r="AN1936" s="12"/>
      <c r="AO1936" s="12"/>
      <c r="AP1936" s="12"/>
      <c r="AQ1936" s="12"/>
      <c r="AR1936" s="12"/>
      <c r="AS1936" s="12"/>
      <c r="AT1936" s="12"/>
      <c r="AU1936" s="12"/>
      <c r="AV1936" s="12"/>
    </row>
    <row r="1937"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  <c r="AC1937" s="12"/>
      <c r="AD1937" s="12"/>
      <c r="AE1937" s="12"/>
      <c r="AF1937" s="12"/>
      <c r="AG1937" s="12"/>
      <c r="AH1937" s="12"/>
      <c r="AI1937" s="12"/>
      <c r="AJ1937" s="12"/>
      <c r="AK1937" s="12"/>
      <c r="AL1937" s="12"/>
      <c r="AM1937" s="12"/>
      <c r="AN1937" s="12"/>
      <c r="AO1937" s="12"/>
      <c r="AP1937" s="12"/>
      <c r="AQ1937" s="12"/>
      <c r="AR1937" s="12"/>
      <c r="AS1937" s="12"/>
      <c r="AT1937" s="12"/>
      <c r="AU1937" s="12"/>
      <c r="AV1937" s="12"/>
    </row>
    <row r="1938"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  <c r="AC1938" s="12"/>
      <c r="AD1938" s="12"/>
      <c r="AE1938" s="12"/>
      <c r="AF1938" s="12"/>
      <c r="AG1938" s="12"/>
      <c r="AH1938" s="12"/>
      <c r="AI1938" s="12"/>
      <c r="AJ1938" s="12"/>
      <c r="AK1938" s="12"/>
      <c r="AL1938" s="12"/>
      <c r="AM1938" s="12"/>
      <c r="AN1938" s="12"/>
      <c r="AO1938" s="12"/>
      <c r="AP1938" s="12"/>
      <c r="AQ1938" s="12"/>
      <c r="AR1938" s="12"/>
      <c r="AS1938" s="12"/>
      <c r="AT1938" s="12"/>
      <c r="AU1938" s="12"/>
      <c r="AV1938" s="12"/>
    </row>
    <row r="1939"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  <c r="AC1939" s="12"/>
      <c r="AD1939" s="12"/>
      <c r="AE1939" s="12"/>
      <c r="AF1939" s="12"/>
      <c r="AG1939" s="12"/>
      <c r="AH1939" s="12"/>
      <c r="AI1939" s="12"/>
      <c r="AJ1939" s="12"/>
      <c r="AK1939" s="12"/>
      <c r="AL1939" s="12"/>
      <c r="AM1939" s="12"/>
      <c r="AN1939" s="12"/>
      <c r="AO1939" s="12"/>
      <c r="AP1939" s="12"/>
      <c r="AQ1939" s="12"/>
      <c r="AR1939" s="12"/>
      <c r="AS1939" s="12"/>
      <c r="AT1939" s="12"/>
      <c r="AU1939" s="12"/>
      <c r="AV1939" s="12"/>
    </row>
    <row r="1940">
      <c r="S1940" s="12"/>
      <c r="T1940" s="12"/>
      <c r="U1940" s="12"/>
      <c r="V1940" s="12"/>
      <c r="W1940" s="12"/>
      <c r="X1940" s="12"/>
      <c r="Y1940" s="12"/>
      <c r="Z1940" s="12"/>
      <c r="AA1940" s="12"/>
      <c r="AB1940" s="12"/>
      <c r="AC1940" s="12"/>
      <c r="AD1940" s="12"/>
      <c r="AE1940" s="12"/>
      <c r="AF1940" s="12"/>
      <c r="AG1940" s="12"/>
      <c r="AH1940" s="12"/>
      <c r="AI1940" s="12"/>
      <c r="AJ1940" s="12"/>
      <c r="AK1940" s="12"/>
      <c r="AL1940" s="12"/>
      <c r="AM1940" s="12"/>
      <c r="AN1940" s="12"/>
      <c r="AO1940" s="12"/>
      <c r="AP1940" s="12"/>
      <c r="AQ1940" s="12"/>
      <c r="AR1940" s="12"/>
      <c r="AS1940" s="12"/>
      <c r="AT1940" s="12"/>
      <c r="AU1940" s="12"/>
      <c r="AV1940" s="12"/>
    </row>
    <row r="1941"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  <c r="AC1941" s="12"/>
      <c r="AD1941" s="12"/>
      <c r="AE1941" s="12"/>
      <c r="AF1941" s="12"/>
      <c r="AG1941" s="12"/>
      <c r="AH1941" s="12"/>
      <c r="AI1941" s="12"/>
      <c r="AJ1941" s="12"/>
      <c r="AK1941" s="12"/>
      <c r="AL1941" s="12"/>
      <c r="AM1941" s="12"/>
      <c r="AN1941" s="12"/>
      <c r="AO1941" s="12"/>
      <c r="AP1941" s="12"/>
      <c r="AQ1941" s="12"/>
      <c r="AR1941" s="12"/>
      <c r="AS1941" s="12"/>
      <c r="AT1941" s="12"/>
      <c r="AU1941" s="12"/>
      <c r="AV1941" s="12"/>
    </row>
    <row r="1942"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  <c r="AC1942" s="12"/>
      <c r="AD1942" s="12"/>
      <c r="AE1942" s="12"/>
      <c r="AF1942" s="12"/>
      <c r="AG1942" s="12"/>
      <c r="AH1942" s="12"/>
      <c r="AI1942" s="12"/>
      <c r="AJ1942" s="12"/>
      <c r="AK1942" s="12"/>
      <c r="AL1942" s="12"/>
      <c r="AM1942" s="12"/>
      <c r="AN1942" s="12"/>
      <c r="AO1942" s="12"/>
      <c r="AP1942" s="12"/>
      <c r="AQ1942" s="12"/>
      <c r="AR1942" s="12"/>
      <c r="AS1942" s="12"/>
      <c r="AT1942" s="12"/>
      <c r="AU1942" s="12"/>
      <c r="AV1942" s="12"/>
    </row>
    <row r="1943"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  <c r="AC1943" s="12"/>
      <c r="AD1943" s="12"/>
      <c r="AE1943" s="12"/>
      <c r="AF1943" s="12"/>
      <c r="AG1943" s="12"/>
      <c r="AH1943" s="12"/>
      <c r="AI1943" s="12"/>
      <c r="AJ1943" s="12"/>
      <c r="AK1943" s="12"/>
      <c r="AL1943" s="12"/>
      <c r="AM1943" s="12"/>
      <c r="AN1943" s="12"/>
      <c r="AO1943" s="12"/>
      <c r="AP1943" s="12"/>
      <c r="AQ1943" s="12"/>
      <c r="AR1943" s="12"/>
      <c r="AS1943" s="12"/>
      <c r="AT1943" s="12"/>
      <c r="AU1943" s="12"/>
      <c r="AV1943" s="12"/>
    </row>
    <row r="1944"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  <c r="AC1944" s="12"/>
      <c r="AD1944" s="12"/>
      <c r="AE1944" s="12"/>
      <c r="AF1944" s="12"/>
      <c r="AG1944" s="12"/>
      <c r="AH1944" s="12"/>
      <c r="AI1944" s="12"/>
      <c r="AJ1944" s="12"/>
      <c r="AK1944" s="12"/>
      <c r="AL1944" s="12"/>
      <c r="AM1944" s="12"/>
      <c r="AN1944" s="12"/>
      <c r="AO1944" s="12"/>
      <c r="AP1944" s="12"/>
      <c r="AQ1944" s="12"/>
      <c r="AR1944" s="12"/>
      <c r="AS1944" s="12"/>
      <c r="AT1944" s="12"/>
      <c r="AU1944" s="12"/>
      <c r="AV1944" s="12"/>
    </row>
    <row r="1945"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  <c r="AC1945" s="12"/>
      <c r="AD1945" s="12"/>
      <c r="AE1945" s="12"/>
      <c r="AF1945" s="12"/>
      <c r="AG1945" s="12"/>
      <c r="AH1945" s="12"/>
      <c r="AI1945" s="12"/>
      <c r="AJ1945" s="12"/>
      <c r="AK1945" s="12"/>
      <c r="AL1945" s="12"/>
      <c r="AM1945" s="12"/>
      <c r="AN1945" s="12"/>
      <c r="AO1945" s="12"/>
      <c r="AP1945" s="12"/>
      <c r="AQ1945" s="12"/>
      <c r="AR1945" s="12"/>
      <c r="AS1945" s="12"/>
      <c r="AT1945" s="12"/>
      <c r="AU1945" s="12"/>
      <c r="AV1945" s="12"/>
    </row>
    <row r="1946"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  <c r="AC1946" s="12"/>
      <c r="AD1946" s="12"/>
      <c r="AE1946" s="12"/>
      <c r="AF1946" s="12"/>
      <c r="AG1946" s="12"/>
      <c r="AH1946" s="12"/>
      <c r="AI1946" s="12"/>
      <c r="AJ1946" s="12"/>
      <c r="AK1946" s="12"/>
      <c r="AL1946" s="12"/>
      <c r="AM1946" s="12"/>
      <c r="AN1946" s="12"/>
      <c r="AO1946" s="12"/>
      <c r="AP1946" s="12"/>
      <c r="AQ1946" s="12"/>
      <c r="AR1946" s="12"/>
      <c r="AS1946" s="12"/>
      <c r="AT1946" s="12"/>
      <c r="AU1946" s="12"/>
      <c r="AV1946" s="12"/>
    </row>
    <row r="1947"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  <c r="AC1947" s="12"/>
      <c r="AD1947" s="12"/>
      <c r="AE1947" s="12"/>
      <c r="AF1947" s="12"/>
      <c r="AG1947" s="12"/>
      <c r="AH1947" s="12"/>
      <c r="AI1947" s="12"/>
      <c r="AJ1947" s="12"/>
      <c r="AK1947" s="12"/>
      <c r="AL1947" s="12"/>
      <c r="AM1947" s="12"/>
      <c r="AN1947" s="12"/>
      <c r="AO1947" s="12"/>
      <c r="AP1947" s="12"/>
      <c r="AQ1947" s="12"/>
      <c r="AR1947" s="12"/>
      <c r="AS1947" s="12"/>
      <c r="AT1947" s="12"/>
      <c r="AU1947" s="12"/>
      <c r="AV1947" s="12"/>
    </row>
    <row r="1948"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  <c r="AC1948" s="12"/>
      <c r="AD1948" s="12"/>
      <c r="AE1948" s="12"/>
      <c r="AF1948" s="12"/>
      <c r="AG1948" s="12"/>
      <c r="AH1948" s="12"/>
      <c r="AI1948" s="12"/>
      <c r="AJ1948" s="12"/>
      <c r="AK1948" s="12"/>
      <c r="AL1948" s="12"/>
      <c r="AM1948" s="12"/>
      <c r="AN1948" s="12"/>
      <c r="AO1948" s="12"/>
      <c r="AP1948" s="12"/>
      <c r="AQ1948" s="12"/>
      <c r="AR1948" s="12"/>
      <c r="AS1948" s="12"/>
      <c r="AT1948" s="12"/>
      <c r="AU1948" s="12"/>
      <c r="AV1948" s="12"/>
    </row>
    <row r="1949"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  <c r="AC1949" s="12"/>
      <c r="AD1949" s="12"/>
      <c r="AE1949" s="12"/>
      <c r="AF1949" s="12"/>
      <c r="AG1949" s="12"/>
      <c r="AH1949" s="12"/>
      <c r="AI1949" s="12"/>
      <c r="AJ1949" s="12"/>
      <c r="AK1949" s="12"/>
      <c r="AL1949" s="12"/>
      <c r="AM1949" s="12"/>
      <c r="AN1949" s="12"/>
      <c r="AO1949" s="12"/>
      <c r="AP1949" s="12"/>
      <c r="AQ1949" s="12"/>
      <c r="AR1949" s="12"/>
      <c r="AS1949" s="12"/>
      <c r="AT1949" s="12"/>
      <c r="AU1949" s="12"/>
      <c r="AV1949" s="12"/>
    </row>
    <row r="1950"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  <c r="AC1950" s="12"/>
      <c r="AD1950" s="12"/>
      <c r="AE1950" s="12"/>
      <c r="AF1950" s="12"/>
      <c r="AG1950" s="12"/>
      <c r="AH1950" s="12"/>
      <c r="AI1950" s="12"/>
      <c r="AJ1950" s="12"/>
      <c r="AK1950" s="12"/>
      <c r="AL1950" s="12"/>
      <c r="AM1950" s="12"/>
      <c r="AN1950" s="12"/>
      <c r="AO1950" s="12"/>
      <c r="AP1950" s="12"/>
      <c r="AQ1950" s="12"/>
      <c r="AR1950" s="12"/>
      <c r="AS1950" s="12"/>
      <c r="AT1950" s="12"/>
      <c r="AU1950" s="12"/>
      <c r="AV1950" s="12"/>
    </row>
    <row r="1951"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  <c r="AC1951" s="12"/>
      <c r="AD1951" s="12"/>
      <c r="AE1951" s="12"/>
      <c r="AF1951" s="12"/>
      <c r="AG1951" s="12"/>
      <c r="AH1951" s="12"/>
      <c r="AI1951" s="12"/>
      <c r="AJ1951" s="12"/>
      <c r="AK1951" s="12"/>
      <c r="AL1951" s="12"/>
      <c r="AM1951" s="12"/>
      <c r="AN1951" s="12"/>
      <c r="AO1951" s="12"/>
      <c r="AP1951" s="12"/>
      <c r="AQ1951" s="12"/>
      <c r="AR1951" s="12"/>
      <c r="AS1951" s="12"/>
      <c r="AT1951" s="12"/>
      <c r="AU1951" s="12"/>
      <c r="AV1951" s="12"/>
    </row>
    <row r="1952"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  <c r="AC1952" s="12"/>
      <c r="AD1952" s="12"/>
      <c r="AE1952" s="12"/>
      <c r="AF1952" s="12"/>
      <c r="AG1952" s="12"/>
      <c r="AH1952" s="12"/>
      <c r="AI1952" s="12"/>
      <c r="AJ1952" s="12"/>
      <c r="AK1952" s="12"/>
      <c r="AL1952" s="12"/>
      <c r="AM1952" s="12"/>
      <c r="AN1952" s="12"/>
      <c r="AO1952" s="12"/>
      <c r="AP1952" s="12"/>
      <c r="AQ1952" s="12"/>
      <c r="AR1952" s="12"/>
      <c r="AS1952" s="12"/>
      <c r="AT1952" s="12"/>
      <c r="AU1952" s="12"/>
      <c r="AV1952" s="12"/>
    </row>
    <row r="1953"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  <c r="AC1953" s="12"/>
      <c r="AD1953" s="12"/>
      <c r="AE1953" s="12"/>
      <c r="AF1953" s="12"/>
      <c r="AG1953" s="12"/>
      <c r="AH1953" s="12"/>
      <c r="AI1953" s="12"/>
      <c r="AJ1953" s="12"/>
      <c r="AK1953" s="12"/>
      <c r="AL1953" s="12"/>
      <c r="AM1953" s="12"/>
      <c r="AN1953" s="12"/>
      <c r="AO1953" s="12"/>
      <c r="AP1953" s="12"/>
      <c r="AQ1953" s="12"/>
      <c r="AR1953" s="12"/>
      <c r="AS1953" s="12"/>
      <c r="AT1953" s="12"/>
      <c r="AU1953" s="12"/>
      <c r="AV1953" s="12"/>
    </row>
    <row r="1954"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  <c r="AC1954" s="12"/>
      <c r="AD1954" s="12"/>
      <c r="AE1954" s="12"/>
      <c r="AF1954" s="12"/>
      <c r="AG1954" s="12"/>
      <c r="AH1954" s="12"/>
      <c r="AI1954" s="12"/>
      <c r="AJ1954" s="12"/>
      <c r="AK1954" s="12"/>
      <c r="AL1954" s="12"/>
      <c r="AM1954" s="12"/>
      <c r="AN1954" s="12"/>
      <c r="AO1954" s="12"/>
      <c r="AP1954" s="12"/>
      <c r="AQ1954" s="12"/>
      <c r="AR1954" s="12"/>
      <c r="AS1954" s="12"/>
      <c r="AT1954" s="12"/>
      <c r="AU1954" s="12"/>
      <c r="AV1954" s="12"/>
    </row>
    <row r="1955"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  <c r="AC1955" s="12"/>
      <c r="AD1955" s="12"/>
      <c r="AE1955" s="12"/>
      <c r="AF1955" s="12"/>
      <c r="AG1955" s="12"/>
      <c r="AH1955" s="12"/>
      <c r="AI1955" s="12"/>
      <c r="AJ1955" s="12"/>
      <c r="AK1955" s="12"/>
      <c r="AL1955" s="12"/>
      <c r="AM1955" s="12"/>
      <c r="AN1955" s="12"/>
      <c r="AO1955" s="12"/>
      <c r="AP1955" s="12"/>
      <c r="AQ1955" s="12"/>
      <c r="AR1955" s="12"/>
      <c r="AS1955" s="12"/>
      <c r="AT1955" s="12"/>
      <c r="AU1955" s="12"/>
      <c r="AV1955" s="12"/>
    </row>
    <row r="1956"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  <c r="AC1956" s="12"/>
      <c r="AD1956" s="12"/>
      <c r="AE1956" s="12"/>
      <c r="AF1956" s="12"/>
      <c r="AG1956" s="12"/>
      <c r="AH1956" s="12"/>
      <c r="AI1956" s="12"/>
      <c r="AJ1956" s="12"/>
      <c r="AK1956" s="12"/>
      <c r="AL1956" s="12"/>
      <c r="AM1956" s="12"/>
      <c r="AN1956" s="12"/>
      <c r="AO1956" s="12"/>
      <c r="AP1956" s="12"/>
      <c r="AQ1956" s="12"/>
      <c r="AR1956" s="12"/>
      <c r="AS1956" s="12"/>
      <c r="AT1956" s="12"/>
      <c r="AU1956" s="12"/>
      <c r="AV1956" s="12"/>
    </row>
    <row r="1957"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  <c r="AC1957" s="12"/>
      <c r="AD1957" s="12"/>
      <c r="AE1957" s="12"/>
      <c r="AF1957" s="12"/>
      <c r="AG1957" s="12"/>
      <c r="AH1957" s="12"/>
      <c r="AI1957" s="12"/>
      <c r="AJ1957" s="12"/>
      <c r="AK1957" s="12"/>
      <c r="AL1957" s="12"/>
      <c r="AM1957" s="12"/>
      <c r="AN1957" s="12"/>
      <c r="AO1957" s="12"/>
      <c r="AP1957" s="12"/>
      <c r="AQ1957" s="12"/>
      <c r="AR1957" s="12"/>
      <c r="AS1957" s="12"/>
      <c r="AT1957" s="12"/>
      <c r="AU1957" s="12"/>
      <c r="AV1957" s="12"/>
    </row>
    <row r="1958"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  <c r="AC1958" s="12"/>
      <c r="AD1958" s="12"/>
      <c r="AE1958" s="12"/>
      <c r="AF1958" s="12"/>
      <c r="AG1958" s="12"/>
      <c r="AH1958" s="12"/>
      <c r="AI1958" s="12"/>
      <c r="AJ1958" s="12"/>
      <c r="AK1958" s="12"/>
      <c r="AL1958" s="12"/>
      <c r="AM1958" s="12"/>
      <c r="AN1958" s="12"/>
      <c r="AO1958" s="12"/>
      <c r="AP1958" s="12"/>
      <c r="AQ1958" s="12"/>
      <c r="AR1958" s="12"/>
      <c r="AS1958" s="12"/>
      <c r="AT1958" s="12"/>
      <c r="AU1958" s="12"/>
      <c r="AV1958" s="12"/>
    </row>
    <row r="1959"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  <c r="AC1959" s="12"/>
      <c r="AD1959" s="12"/>
      <c r="AE1959" s="12"/>
      <c r="AF1959" s="12"/>
      <c r="AG1959" s="12"/>
      <c r="AH1959" s="12"/>
      <c r="AI1959" s="12"/>
      <c r="AJ1959" s="12"/>
      <c r="AK1959" s="12"/>
      <c r="AL1959" s="12"/>
      <c r="AM1959" s="12"/>
      <c r="AN1959" s="12"/>
      <c r="AO1959" s="12"/>
      <c r="AP1959" s="12"/>
      <c r="AQ1959" s="12"/>
      <c r="AR1959" s="12"/>
      <c r="AS1959" s="12"/>
      <c r="AT1959" s="12"/>
      <c r="AU1959" s="12"/>
      <c r="AV1959" s="12"/>
    </row>
    <row r="1960"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  <c r="AC1960" s="12"/>
      <c r="AD1960" s="12"/>
      <c r="AE1960" s="12"/>
      <c r="AF1960" s="12"/>
      <c r="AG1960" s="12"/>
      <c r="AH1960" s="12"/>
      <c r="AI1960" s="12"/>
      <c r="AJ1960" s="12"/>
      <c r="AK1960" s="12"/>
      <c r="AL1960" s="12"/>
      <c r="AM1960" s="12"/>
      <c r="AN1960" s="12"/>
      <c r="AO1960" s="12"/>
      <c r="AP1960" s="12"/>
      <c r="AQ1960" s="12"/>
      <c r="AR1960" s="12"/>
      <c r="AS1960" s="12"/>
      <c r="AT1960" s="12"/>
      <c r="AU1960" s="12"/>
      <c r="AV1960" s="12"/>
    </row>
    <row r="1961"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  <c r="AC1961" s="12"/>
      <c r="AD1961" s="12"/>
      <c r="AE1961" s="12"/>
      <c r="AF1961" s="12"/>
      <c r="AG1961" s="12"/>
      <c r="AH1961" s="12"/>
      <c r="AI1961" s="12"/>
      <c r="AJ1961" s="12"/>
      <c r="AK1961" s="12"/>
      <c r="AL1961" s="12"/>
      <c r="AM1961" s="12"/>
      <c r="AN1961" s="12"/>
      <c r="AO1961" s="12"/>
      <c r="AP1961" s="12"/>
      <c r="AQ1961" s="12"/>
      <c r="AR1961" s="12"/>
      <c r="AS1961" s="12"/>
      <c r="AT1961" s="12"/>
      <c r="AU1961" s="12"/>
      <c r="AV1961" s="12"/>
    </row>
    <row r="1962"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  <c r="AC1962" s="12"/>
      <c r="AD1962" s="12"/>
      <c r="AE1962" s="12"/>
      <c r="AF1962" s="12"/>
      <c r="AG1962" s="12"/>
      <c r="AH1962" s="12"/>
      <c r="AI1962" s="12"/>
      <c r="AJ1962" s="12"/>
      <c r="AK1962" s="12"/>
      <c r="AL1962" s="12"/>
      <c r="AM1962" s="12"/>
      <c r="AN1962" s="12"/>
      <c r="AO1962" s="12"/>
      <c r="AP1962" s="12"/>
      <c r="AQ1962" s="12"/>
      <c r="AR1962" s="12"/>
      <c r="AS1962" s="12"/>
      <c r="AT1962" s="12"/>
      <c r="AU1962" s="12"/>
      <c r="AV1962" s="12"/>
    </row>
    <row r="1963"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  <c r="AC1963" s="12"/>
      <c r="AD1963" s="12"/>
      <c r="AE1963" s="12"/>
      <c r="AF1963" s="12"/>
      <c r="AG1963" s="12"/>
      <c r="AH1963" s="12"/>
      <c r="AI1963" s="12"/>
      <c r="AJ1963" s="12"/>
      <c r="AK1963" s="12"/>
      <c r="AL1963" s="12"/>
      <c r="AM1963" s="12"/>
      <c r="AN1963" s="12"/>
      <c r="AO1963" s="12"/>
      <c r="AP1963" s="12"/>
      <c r="AQ1963" s="12"/>
      <c r="AR1963" s="12"/>
      <c r="AS1963" s="12"/>
      <c r="AT1963" s="12"/>
      <c r="AU1963" s="12"/>
      <c r="AV1963" s="12"/>
    </row>
    <row r="1964"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  <c r="AC1964" s="12"/>
      <c r="AD1964" s="12"/>
      <c r="AE1964" s="12"/>
      <c r="AF1964" s="12"/>
      <c r="AG1964" s="12"/>
      <c r="AH1964" s="12"/>
      <c r="AI1964" s="12"/>
      <c r="AJ1964" s="12"/>
      <c r="AK1964" s="12"/>
      <c r="AL1964" s="12"/>
      <c r="AM1964" s="12"/>
      <c r="AN1964" s="12"/>
      <c r="AO1964" s="12"/>
      <c r="AP1964" s="12"/>
      <c r="AQ1964" s="12"/>
      <c r="AR1964" s="12"/>
      <c r="AS1964" s="12"/>
      <c r="AT1964" s="12"/>
      <c r="AU1964" s="12"/>
      <c r="AV1964" s="12"/>
    </row>
    <row r="1965"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  <c r="AC1965" s="12"/>
      <c r="AD1965" s="12"/>
      <c r="AE1965" s="12"/>
      <c r="AF1965" s="12"/>
      <c r="AG1965" s="12"/>
      <c r="AH1965" s="12"/>
      <c r="AI1965" s="12"/>
      <c r="AJ1965" s="12"/>
      <c r="AK1965" s="12"/>
      <c r="AL1965" s="12"/>
      <c r="AM1965" s="12"/>
      <c r="AN1965" s="12"/>
      <c r="AO1965" s="12"/>
      <c r="AP1965" s="12"/>
      <c r="AQ1965" s="12"/>
      <c r="AR1965" s="12"/>
      <c r="AS1965" s="12"/>
      <c r="AT1965" s="12"/>
      <c r="AU1965" s="12"/>
      <c r="AV1965" s="12"/>
    </row>
    <row r="1966"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  <c r="AC1966" s="12"/>
      <c r="AD1966" s="12"/>
      <c r="AE1966" s="12"/>
      <c r="AF1966" s="12"/>
      <c r="AG1966" s="12"/>
      <c r="AH1966" s="12"/>
      <c r="AI1966" s="12"/>
      <c r="AJ1966" s="12"/>
      <c r="AK1966" s="12"/>
      <c r="AL1966" s="12"/>
      <c r="AM1966" s="12"/>
      <c r="AN1966" s="12"/>
      <c r="AO1966" s="12"/>
      <c r="AP1966" s="12"/>
      <c r="AQ1966" s="12"/>
      <c r="AR1966" s="12"/>
      <c r="AS1966" s="12"/>
      <c r="AT1966" s="12"/>
      <c r="AU1966" s="12"/>
      <c r="AV1966" s="12"/>
    </row>
    <row r="1967"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  <c r="AC1967" s="12"/>
      <c r="AD1967" s="12"/>
      <c r="AE1967" s="12"/>
      <c r="AF1967" s="12"/>
      <c r="AG1967" s="12"/>
      <c r="AH1967" s="12"/>
      <c r="AI1967" s="12"/>
      <c r="AJ1967" s="12"/>
      <c r="AK1967" s="12"/>
      <c r="AL1967" s="12"/>
      <c r="AM1967" s="12"/>
      <c r="AN1967" s="12"/>
      <c r="AO1967" s="12"/>
      <c r="AP1967" s="12"/>
      <c r="AQ1967" s="12"/>
      <c r="AR1967" s="12"/>
      <c r="AS1967" s="12"/>
      <c r="AT1967" s="12"/>
      <c r="AU1967" s="12"/>
      <c r="AV1967" s="12"/>
    </row>
    <row r="1968"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  <c r="AC1968" s="12"/>
      <c r="AD1968" s="12"/>
      <c r="AE1968" s="12"/>
      <c r="AF1968" s="12"/>
      <c r="AG1968" s="12"/>
      <c r="AH1968" s="12"/>
      <c r="AI1968" s="12"/>
      <c r="AJ1968" s="12"/>
      <c r="AK1968" s="12"/>
      <c r="AL1968" s="12"/>
      <c r="AM1968" s="12"/>
      <c r="AN1968" s="12"/>
      <c r="AO1968" s="12"/>
      <c r="AP1968" s="12"/>
      <c r="AQ1968" s="12"/>
      <c r="AR1968" s="12"/>
      <c r="AS1968" s="12"/>
      <c r="AT1968" s="12"/>
      <c r="AU1968" s="12"/>
      <c r="AV1968" s="12"/>
    </row>
    <row r="1969"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  <c r="AC1969" s="12"/>
      <c r="AD1969" s="12"/>
      <c r="AE1969" s="12"/>
      <c r="AF1969" s="12"/>
      <c r="AG1969" s="12"/>
      <c r="AH1969" s="12"/>
      <c r="AI1969" s="12"/>
      <c r="AJ1969" s="12"/>
      <c r="AK1969" s="12"/>
      <c r="AL1969" s="12"/>
      <c r="AM1969" s="12"/>
      <c r="AN1969" s="12"/>
      <c r="AO1969" s="12"/>
      <c r="AP1969" s="12"/>
      <c r="AQ1969" s="12"/>
      <c r="AR1969" s="12"/>
      <c r="AS1969" s="12"/>
      <c r="AT1969" s="12"/>
      <c r="AU1969" s="12"/>
      <c r="AV1969" s="12"/>
    </row>
    <row r="1970"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  <c r="AC1970" s="12"/>
      <c r="AD1970" s="12"/>
      <c r="AE1970" s="12"/>
      <c r="AF1970" s="12"/>
      <c r="AG1970" s="12"/>
      <c r="AH1970" s="12"/>
      <c r="AI1970" s="12"/>
      <c r="AJ1970" s="12"/>
      <c r="AK1970" s="12"/>
      <c r="AL1970" s="12"/>
      <c r="AM1970" s="12"/>
      <c r="AN1970" s="12"/>
      <c r="AO1970" s="12"/>
      <c r="AP1970" s="12"/>
      <c r="AQ1970" s="12"/>
      <c r="AR1970" s="12"/>
      <c r="AS1970" s="12"/>
      <c r="AT1970" s="12"/>
      <c r="AU1970" s="12"/>
      <c r="AV1970" s="12"/>
    </row>
    <row r="1971"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  <c r="AC1971" s="12"/>
      <c r="AD1971" s="12"/>
      <c r="AE1971" s="12"/>
      <c r="AF1971" s="12"/>
      <c r="AG1971" s="12"/>
      <c r="AH1971" s="12"/>
      <c r="AI1971" s="12"/>
      <c r="AJ1971" s="12"/>
      <c r="AK1971" s="12"/>
      <c r="AL1971" s="12"/>
      <c r="AM1971" s="12"/>
      <c r="AN1971" s="12"/>
      <c r="AO1971" s="12"/>
      <c r="AP1971" s="12"/>
      <c r="AQ1971" s="12"/>
      <c r="AR1971" s="12"/>
      <c r="AS1971" s="12"/>
      <c r="AT1971" s="12"/>
      <c r="AU1971" s="12"/>
      <c r="AV1971" s="12"/>
    </row>
    <row r="1972"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  <c r="AC1972" s="12"/>
      <c r="AD1972" s="12"/>
      <c r="AE1972" s="12"/>
      <c r="AF1972" s="12"/>
      <c r="AG1972" s="12"/>
      <c r="AH1972" s="12"/>
      <c r="AI1972" s="12"/>
      <c r="AJ1972" s="12"/>
      <c r="AK1972" s="12"/>
      <c r="AL1972" s="12"/>
      <c r="AM1972" s="12"/>
      <c r="AN1972" s="12"/>
      <c r="AO1972" s="12"/>
      <c r="AP1972" s="12"/>
      <c r="AQ1972" s="12"/>
      <c r="AR1972" s="12"/>
      <c r="AS1972" s="12"/>
      <c r="AT1972" s="12"/>
      <c r="AU1972" s="12"/>
      <c r="AV1972" s="12"/>
    </row>
    <row r="1973"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  <c r="AC1973" s="12"/>
      <c r="AD1973" s="12"/>
      <c r="AE1973" s="12"/>
      <c r="AF1973" s="12"/>
      <c r="AG1973" s="12"/>
      <c r="AH1973" s="12"/>
      <c r="AI1973" s="12"/>
      <c r="AJ1973" s="12"/>
      <c r="AK1973" s="12"/>
      <c r="AL1973" s="12"/>
      <c r="AM1973" s="12"/>
      <c r="AN1973" s="12"/>
      <c r="AO1973" s="12"/>
      <c r="AP1973" s="12"/>
      <c r="AQ1973" s="12"/>
      <c r="AR1973" s="12"/>
      <c r="AS1973" s="12"/>
      <c r="AT1973" s="12"/>
      <c r="AU1973" s="12"/>
      <c r="AV1973" s="12"/>
    </row>
    <row r="1974"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  <c r="AC1974" s="12"/>
      <c r="AD1974" s="12"/>
      <c r="AE1974" s="12"/>
      <c r="AF1974" s="12"/>
      <c r="AG1974" s="12"/>
      <c r="AH1974" s="12"/>
      <c r="AI1974" s="12"/>
      <c r="AJ1974" s="12"/>
      <c r="AK1974" s="12"/>
      <c r="AL1974" s="12"/>
      <c r="AM1974" s="12"/>
      <c r="AN1974" s="12"/>
      <c r="AO1974" s="12"/>
      <c r="AP1974" s="12"/>
      <c r="AQ1974" s="12"/>
      <c r="AR1974" s="12"/>
      <c r="AS1974" s="12"/>
      <c r="AT1974" s="12"/>
      <c r="AU1974" s="12"/>
      <c r="AV1974" s="12"/>
    </row>
    <row r="1975">
      <c r="S1975" s="12"/>
      <c r="T1975" s="12"/>
      <c r="U1975" s="12"/>
      <c r="V1975" s="12"/>
      <c r="W1975" s="12"/>
      <c r="X1975" s="12"/>
      <c r="Y1975" s="12"/>
      <c r="Z1975" s="12"/>
      <c r="AA1975" s="12"/>
      <c r="AB1975" s="12"/>
      <c r="AC1975" s="12"/>
      <c r="AD1975" s="12"/>
      <c r="AE1975" s="12"/>
      <c r="AF1975" s="12"/>
      <c r="AG1975" s="12"/>
      <c r="AH1975" s="12"/>
      <c r="AI1975" s="12"/>
      <c r="AJ1975" s="12"/>
      <c r="AK1975" s="12"/>
      <c r="AL1975" s="12"/>
      <c r="AM1975" s="12"/>
      <c r="AN1975" s="12"/>
      <c r="AO1975" s="12"/>
      <c r="AP1975" s="12"/>
      <c r="AQ1975" s="12"/>
      <c r="AR1975" s="12"/>
      <c r="AS1975" s="12"/>
      <c r="AT1975" s="12"/>
      <c r="AU1975" s="12"/>
      <c r="AV1975" s="12"/>
    </row>
    <row r="1976"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  <c r="AC1976" s="12"/>
      <c r="AD1976" s="12"/>
      <c r="AE1976" s="12"/>
      <c r="AF1976" s="12"/>
      <c r="AG1976" s="12"/>
      <c r="AH1976" s="12"/>
      <c r="AI1976" s="12"/>
      <c r="AJ1976" s="12"/>
      <c r="AK1976" s="12"/>
      <c r="AL1976" s="12"/>
      <c r="AM1976" s="12"/>
      <c r="AN1976" s="12"/>
      <c r="AO1976" s="12"/>
      <c r="AP1976" s="12"/>
      <c r="AQ1976" s="12"/>
      <c r="AR1976" s="12"/>
      <c r="AS1976" s="12"/>
      <c r="AT1976" s="12"/>
      <c r="AU1976" s="12"/>
      <c r="AV1976" s="12"/>
    </row>
    <row r="1977"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  <c r="AC1977" s="12"/>
      <c r="AD1977" s="12"/>
      <c r="AE1977" s="12"/>
      <c r="AF1977" s="12"/>
      <c r="AG1977" s="12"/>
      <c r="AH1977" s="12"/>
      <c r="AI1977" s="12"/>
      <c r="AJ1977" s="12"/>
      <c r="AK1977" s="12"/>
      <c r="AL1977" s="12"/>
      <c r="AM1977" s="12"/>
      <c r="AN1977" s="12"/>
      <c r="AO1977" s="12"/>
      <c r="AP1977" s="12"/>
      <c r="AQ1977" s="12"/>
      <c r="AR1977" s="12"/>
      <c r="AS1977" s="12"/>
      <c r="AT1977" s="12"/>
      <c r="AU1977" s="12"/>
      <c r="AV1977" s="12"/>
    </row>
    <row r="1978">
      <c r="S1978" s="12"/>
      <c r="T1978" s="12"/>
      <c r="U1978" s="12"/>
      <c r="V1978" s="12"/>
      <c r="W1978" s="12"/>
      <c r="X1978" s="12"/>
      <c r="Y1978" s="12"/>
      <c r="Z1978" s="12"/>
      <c r="AA1978" s="12"/>
      <c r="AB1978" s="12"/>
      <c r="AC1978" s="12"/>
      <c r="AD1978" s="12"/>
      <c r="AE1978" s="12"/>
      <c r="AF1978" s="12"/>
      <c r="AG1978" s="12"/>
      <c r="AH1978" s="12"/>
      <c r="AI1978" s="12"/>
      <c r="AJ1978" s="12"/>
      <c r="AK1978" s="12"/>
      <c r="AL1978" s="12"/>
      <c r="AM1978" s="12"/>
      <c r="AN1978" s="12"/>
      <c r="AO1978" s="12"/>
      <c r="AP1978" s="12"/>
      <c r="AQ1978" s="12"/>
      <c r="AR1978" s="12"/>
      <c r="AS1978" s="12"/>
      <c r="AT1978" s="12"/>
      <c r="AU1978" s="12"/>
      <c r="AV1978" s="12"/>
    </row>
    <row r="1979"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  <c r="AC1979" s="12"/>
      <c r="AD1979" s="12"/>
      <c r="AE1979" s="12"/>
      <c r="AF1979" s="12"/>
      <c r="AG1979" s="12"/>
      <c r="AH1979" s="12"/>
      <c r="AI1979" s="12"/>
      <c r="AJ1979" s="12"/>
      <c r="AK1979" s="12"/>
      <c r="AL1979" s="12"/>
      <c r="AM1979" s="12"/>
      <c r="AN1979" s="12"/>
      <c r="AO1979" s="12"/>
      <c r="AP1979" s="12"/>
      <c r="AQ1979" s="12"/>
      <c r="AR1979" s="12"/>
      <c r="AS1979" s="12"/>
      <c r="AT1979" s="12"/>
      <c r="AU1979" s="12"/>
      <c r="AV1979" s="12"/>
    </row>
    <row r="1980"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  <c r="AC1980" s="12"/>
      <c r="AD1980" s="12"/>
      <c r="AE1980" s="12"/>
      <c r="AF1980" s="12"/>
      <c r="AG1980" s="12"/>
      <c r="AH1980" s="12"/>
      <c r="AI1980" s="12"/>
      <c r="AJ1980" s="12"/>
      <c r="AK1980" s="12"/>
      <c r="AL1980" s="12"/>
      <c r="AM1980" s="12"/>
      <c r="AN1980" s="12"/>
      <c r="AO1980" s="12"/>
      <c r="AP1980" s="12"/>
      <c r="AQ1980" s="12"/>
      <c r="AR1980" s="12"/>
      <c r="AS1980" s="12"/>
      <c r="AT1980" s="12"/>
      <c r="AU1980" s="12"/>
      <c r="AV1980" s="12"/>
    </row>
    <row r="1981"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  <c r="AC1981" s="12"/>
      <c r="AD1981" s="12"/>
      <c r="AE1981" s="12"/>
      <c r="AF1981" s="12"/>
      <c r="AG1981" s="12"/>
      <c r="AH1981" s="12"/>
      <c r="AI1981" s="12"/>
      <c r="AJ1981" s="12"/>
      <c r="AK1981" s="12"/>
      <c r="AL1981" s="12"/>
      <c r="AM1981" s="12"/>
      <c r="AN1981" s="12"/>
      <c r="AO1981" s="12"/>
      <c r="AP1981" s="12"/>
      <c r="AQ1981" s="12"/>
      <c r="AR1981" s="12"/>
      <c r="AS1981" s="12"/>
      <c r="AT1981" s="12"/>
      <c r="AU1981" s="12"/>
      <c r="AV1981" s="12"/>
    </row>
    <row r="1982"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  <c r="AC1982" s="12"/>
      <c r="AD1982" s="12"/>
      <c r="AE1982" s="12"/>
      <c r="AF1982" s="12"/>
      <c r="AG1982" s="12"/>
      <c r="AH1982" s="12"/>
      <c r="AI1982" s="12"/>
      <c r="AJ1982" s="12"/>
      <c r="AK1982" s="12"/>
      <c r="AL1982" s="12"/>
      <c r="AM1982" s="12"/>
      <c r="AN1982" s="12"/>
      <c r="AO1982" s="12"/>
      <c r="AP1982" s="12"/>
      <c r="AQ1982" s="12"/>
      <c r="AR1982" s="12"/>
      <c r="AS1982" s="12"/>
      <c r="AT1982" s="12"/>
      <c r="AU1982" s="12"/>
      <c r="AV1982" s="12"/>
    </row>
    <row r="1983"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  <c r="AC1983" s="12"/>
      <c r="AD1983" s="12"/>
      <c r="AE1983" s="12"/>
      <c r="AF1983" s="12"/>
      <c r="AG1983" s="12"/>
      <c r="AH1983" s="12"/>
      <c r="AI1983" s="12"/>
      <c r="AJ1983" s="12"/>
      <c r="AK1983" s="12"/>
      <c r="AL1983" s="12"/>
      <c r="AM1983" s="12"/>
      <c r="AN1983" s="12"/>
      <c r="AO1983" s="12"/>
      <c r="AP1983" s="12"/>
      <c r="AQ1983" s="12"/>
      <c r="AR1983" s="12"/>
      <c r="AS1983" s="12"/>
      <c r="AT1983" s="12"/>
      <c r="AU1983" s="12"/>
      <c r="AV1983" s="12"/>
    </row>
    <row r="1984"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  <c r="AC1984" s="12"/>
      <c r="AD1984" s="12"/>
      <c r="AE1984" s="12"/>
      <c r="AF1984" s="12"/>
      <c r="AG1984" s="12"/>
      <c r="AH1984" s="12"/>
      <c r="AI1984" s="12"/>
      <c r="AJ1984" s="12"/>
      <c r="AK1984" s="12"/>
      <c r="AL1984" s="12"/>
      <c r="AM1984" s="12"/>
      <c r="AN1984" s="12"/>
      <c r="AO1984" s="12"/>
      <c r="AP1984" s="12"/>
      <c r="AQ1984" s="12"/>
      <c r="AR1984" s="12"/>
      <c r="AS1984" s="12"/>
      <c r="AT1984" s="12"/>
      <c r="AU1984" s="12"/>
      <c r="AV1984" s="12"/>
    </row>
    <row r="1985"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  <c r="AC1985" s="12"/>
      <c r="AD1985" s="12"/>
      <c r="AE1985" s="12"/>
      <c r="AF1985" s="12"/>
      <c r="AG1985" s="12"/>
      <c r="AH1985" s="12"/>
      <c r="AI1985" s="12"/>
      <c r="AJ1985" s="12"/>
      <c r="AK1985" s="12"/>
      <c r="AL1985" s="12"/>
      <c r="AM1985" s="12"/>
      <c r="AN1985" s="12"/>
      <c r="AO1985" s="12"/>
      <c r="AP1985" s="12"/>
      <c r="AQ1985" s="12"/>
      <c r="AR1985" s="12"/>
      <c r="AS1985" s="12"/>
      <c r="AT1985" s="12"/>
      <c r="AU1985" s="12"/>
      <c r="AV1985" s="12"/>
    </row>
    <row r="1986"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  <c r="AC1986" s="12"/>
      <c r="AD1986" s="12"/>
      <c r="AE1986" s="12"/>
      <c r="AF1986" s="12"/>
      <c r="AG1986" s="12"/>
      <c r="AH1986" s="12"/>
      <c r="AI1986" s="12"/>
      <c r="AJ1986" s="12"/>
      <c r="AK1986" s="12"/>
      <c r="AL1986" s="12"/>
      <c r="AM1986" s="12"/>
      <c r="AN1986" s="12"/>
      <c r="AO1986" s="12"/>
      <c r="AP1986" s="12"/>
      <c r="AQ1986" s="12"/>
      <c r="AR1986" s="12"/>
      <c r="AS1986" s="12"/>
      <c r="AT1986" s="12"/>
      <c r="AU1986" s="12"/>
      <c r="AV1986" s="12"/>
    </row>
    <row r="1987"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  <c r="AC1987" s="12"/>
      <c r="AD1987" s="12"/>
      <c r="AE1987" s="12"/>
      <c r="AF1987" s="12"/>
      <c r="AG1987" s="12"/>
      <c r="AH1987" s="12"/>
      <c r="AI1987" s="12"/>
      <c r="AJ1987" s="12"/>
      <c r="AK1987" s="12"/>
      <c r="AL1987" s="12"/>
      <c r="AM1987" s="12"/>
      <c r="AN1987" s="12"/>
      <c r="AO1987" s="12"/>
      <c r="AP1987" s="12"/>
      <c r="AQ1987" s="12"/>
      <c r="AR1987" s="12"/>
      <c r="AS1987" s="12"/>
      <c r="AT1987" s="12"/>
      <c r="AU1987" s="12"/>
      <c r="AV1987" s="12"/>
    </row>
    <row r="1988"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  <c r="AC1988" s="12"/>
      <c r="AD1988" s="12"/>
      <c r="AE1988" s="12"/>
      <c r="AF1988" s="12"/>
      <c r="AG1988" s="12"/>
      <c r="AH1988" s="12"/>
      <c r="AI1988" s="12"/>
      <c r="AJ1988" s="12"/>
      <c r="AK1988" s="12"/>
      <c r="AL1988" s="12"/>
      <c r="AM1988" s="12"/>
      <c r="AN1988" s="12"/>
      <c r="AO1988" s="12"/>
      <c r="AP1988" s="12"/>
      <c r="AQ1988" s="12"/>
      <c r="AR1988" s="12"/>
      <c r="AS1988" s="12"/>
      <c r="AT1988" s="12"/>
      <c r="AU1988" s="12"/>
      <c r="AV1988" s="12"/>
    </row>
    <row r="1989"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  <c r="AC1989" s="12"/>
      <c r="AD1989" s="12"/>
      <c r="AE1989" s="12"/>
      <c r="AF1989" s="12"/>
      <c r="AG1989" s="12"/>
      <c r="AH1989" s="12"/>
      <c r="AI1989" s="12"/>
      <c r="AJ1989" s="12"/>
      <c r="AK1989" s="12"/>
      <c r="AL1989" s="12"/>
      <c r="AM1989" s="12"/>
      <c r="AN1989" s="12"/>
      <c r="AO1989" s="12"/>
      <c r="AP1989" s="12"/>
      <c r="AQ1989" s="12"/>
      <c r="AR1989" s="12"/>
      <c r="AS1989" s="12"/>
      <c r="AT1989" s="12"/>
      <c r="AU1989" s="12"/>
      <c r="AV1989" s="12"/>
    </row>
    <row r="1990"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  <c r="AC1990" s="12"/>
      <c r="AD1990" s="12"/>
      <c r="AE1990" s="12"/>
      <c r="AF1990" s="12"/>
      <c r="AG1990" s="12"/>
      <c r="AH1990" s="12"/>
      <c r="AI1990" s="12"/>
      <c r="AJ1990" s="12"/>
      <c r="AK1990" s="12"/>
      <c r="AL1990" s="12"/>
      <c r="AM1990" s="12"/>
      <c r="AN1990" s="12"/>
      <c r="AO1990" s="12"/>
      <c r="AP1990" s="12"/>
      <c r="AQ1990" s="12"/>
      <c r="AR1990" s="12"/>
      <c r="AS1990" s="12"/>
      <c r="AT1990" s="12"/>
      <c r="AU1990" s="12"/>
      <c r="AV1990" s="12"/>
    </row>
    <row r="1991"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  <c r="AC1991" s="12"/>
      <c r="AD1991" s="12"/>
      <c r="AE1991" s="12"/>
      <c r="AF1991" s="12"/>
      <c r="AG1991" s="12"/>
      <c r="AH1991" s="12"/>
      <c r="AI1991" s="12"/>
      <c r="AJ1991" s="12"/>
      <c r="AK1991" s="12"/>
      <c r="AL1991" s="12"/>
      <c r="AM1991" s="12"/>
      <c r="AN1991" s="12"/>
      <c r="AO1991" s="12"/>
      <c r="AP1991" s="12"/>
      <c r="AQ1991" s="12"/>
      <c r="AR1991" s="12"/>
      <c r="AS1991" s="12"/>
      <c r="AT1991" s="12"/>
      <c r="AU1991" s="12"/>
      <c r="AV1991" s="12"/>
    </row>
    <row r="1992"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  <c r="AC1992" s="12"/>
      <c r="AD1992" s="12"/>
      <c r="AE1992" s="12"/>
      <c r="AF1992" s="12"/>
      <c r="AG1992" s="12"/>
      <c r="AH1992" s="12"/>
      <c r="AI1992" s="12"/>
      <c r="AJ1992" s="12"/>
      <c r="AK1992" s="12"/>
      <c r="AL1992" s="12"/>
      <c r="AM1992" s="12"/>
      <c r="AN1992" s="12"/>
      <c r="AO1992" s="12"/>
      <c r="AP1992" s="12"/>
      <c r="AQ1992" s="12"/>
      <c r="AR1992" s="12"/>
      <c r="AS1992" s="12"/>
      <c r="AT1992" s="12"/>
      <c r="AU1992" s="12"/>
      <c r="AV1992" s="12"/>
    </row>
    <row r="1993"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  <c r="AC1993" s="12"/>
      <c r="AD1993" s="12"/>
      <c r="AE1993" s="12"/>
      <c r="AF1993" s="12"/>
      <c r="AG1993" s="12"/>
      <c r="AH1993" s="12"/>
      <c r="AI1993" s="12"/>
      <c r="AJ1993" s="12"/>
      <c r="AK1993" s="12"/>
      <c r="AL1993" s="12"/>
      <c r="AM1993" s="12"/>
      <c r="AN1993" s="12"/>
      <c r="AO1993" s="12"/>
      <c r="AP1993" s="12"/>
      <c r="AQ1993" s="12"/>
      <c r="AR1993" s="12"/>
      <c r="AS1993" s="12"/>
      <c r="AT1993" s="12"/>
      <c r="AU1993" s="12"/>
      <c r="AV1993" s="12"/>
    </row>
    <row r="1994"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  <c r="AC1994" s="12"/>
      <c r="AD1994" s="12"/>
      <c r="AE1994" s="12"/>
      <c r="AF1994" s="12"/>
      <c r="AG1994" s="12"/>
      <c r="AH1994" s="12"/>
      <c r="AI1994" s="12"/>
      <c r="AJ1994" s="12"/>
      <c r="AK1994" s="12"/>
      <c r="AL1994" s="12"/>
      <c r="AM1994" s="12"/>
      <c r="AN1994" s="12"/>
      <c r="AO1994" s="12"/>
      <c r="AP1994" s="12"/>
      <c r="AQ1994" s="12"/>
      <c r="AR1994" s="12"/>
      <c r="AS1994" s="12"/>
      <c r="AT1994" s="12"/>
      <c r="AU1994" s="12"/>
      <c r="AV1994" s="12"/>
    </row>
    <row r="1995"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  <c r="AC1995" s="12"/>
      <c r="AD1995" s="12"/>
      <c r="AE1995" s="12"/>
      <c r="AF1995" s="12"/>
      <c r="AG1995" s="12"/>
      <c r="AH1995" s="12"/>
      <c r="AI1995" s="12"/>
      <c r="AJ1995" s="12"/>
      <c r="AK1995" s="12"/>
      <c r="AL1995" s="12"/>
      <c r="AM1995" s="12"/>
      <c r="AN1995" s="12"/>
      <c r="AO1995" s="12"/>
      <c r="AP1995" s="12"/>
      <c r="AQ1995" s="12"/>
      <c r="AR1995" s="12"/>
      <c r="AS1995" s="12"/>
      <c r="AT1995" s="12"/>
      <c r="AU1995" s="12"/>
      <c r="AV1995" s="12"/>
    </row>
    <row r="1996"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  <c r="AC1996" s="12"/>
      <c r="AD1996" s="12"/>
      <c r="AE1996" s="12"/>
      <c r="AF1996" s="12"/>
      <c r="AG1996" s="12"/>
      <c r="AH1996" s="12"/>
      <c r="AI1996" s="12"/>
      <c r="AJ1996" s="12"/>
      <c r="AK1996" s="12"/>
      <c r="AL1996" s="12"/>
      <c r="AM1996" s="12"/>
      <c r="AN1996" s="12"/>
      <c r="AO1996" s="12"/>
      <c r="AP1996" s="12"/>
      <c r="AQ1996" s="12"/>
      <c r="AR1996" s="12"/>
      <c r="AS1996" s="12"/>
      <c r="AT1996" s="12"/>
      <c r="AU1996" s="12"/>
      <c r="AV1996" s="12"/>
    </row>
    <row r="1997"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  <c r="AC1997" s="12"/>
      <c r="AD1997" s="12"/>
      <c r="AE1997" s="12"/>
      <c r="AF1997" s="12"/>
      <c r="AG1997" s="12"/>
      <c r="AH1997" s="12"/>
      <c r="AI1997" s="12"/>
      <c r="AJ1997" s="12"/>
      <c r="AK1997" s="12"/>
      <c r="AL1997" s="12"/>
      <c r="AM1997" s="12"/>
      <c r="AN1997" s="12"/>
      <c r="AO1997" s="12"/>
      <c r="AP1997" s="12"/>
      <c r="AQ1997" s="12"/>
      <c r="AR1997" s="12"/>
      <c r="AS1997" s="12"/>
      <c r="AT1997" s="12"/>
      <c r="AU1997" s="12"/>
      <c r="AV1997" s="12"/>
    </row>
    <row r="1998"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  <c r="AC1998" s="12"/>
      <c r="AD1998" s="12"/>
      <c r="AE1998" s="12"/>
      <c r="AF1998" s="12"/>
      <c r="AG1998" s="12"/>
      <c r="AH1998" s="12"/>
      <c r="AI1998" s="12"/>
      <c r="AJ1998" s="12"/>
      <c r="AK1998" s="12"/>
      <c r="AL1998" s="12"/>
      <c r="AM1998" s="12"/>
      <c r="AN1998" s="12"/>
      <c r="AO1998" s="12"/>
      <c r="AP1998" s="12"/>
      <c r="AQ1998" s="12"/>
      <c r="AR1998" s="12"/>
      <c r="AS1998" s="12"/>
      <c r="AT1998" s="12"/>
      <c r="AU1998" s="12"/>
      <c r="AV1998" s="12"/>
    </row>
    <row r="1999"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  <c r="AC1999" s="12"/>
      <c r="AD1999" s="12"/>
      <c r="AE1999" s="12"/>
      <c r="AF1999" s="12"/>
      <c r="AG1999" s="12"/>
      <c r="AH1999" s="12"/>
      <c r="AI1999" s="12"/>
      <c r="AJ1999" s="12"/>
      <c r="AK1999" s="12"/>
      <c r="AL1999" s="12"/>
      <c r="AM1999" s="12"/>
      <c r="AN1999" s="12"/>
      <c r="AO1999" s="12"/>
      <c r="AP1999" s="12"/>
      <c r="AQ1999" s="12"/>
      <c r="AR1999" s="12"/>
      <c r="AS1999" s="12"/>
      <c r="AT1999" s="12"/>
      <c r="AU1999" s="12"/>
      <c r="AV1999" s="12"/>
    </row>
    <row r="2000"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  <c r="AC2000" s="12"/>
      <c r="AD2000" s="12"/>
      <c r="AE2000" s="12"/>
      <c r="AF2000" s="12"/>
      <c r="AG2000" s="12"/>
      <c r="AH2000" s="12"/>
      <c r="AI2000" s="12"/>
      <c r="AJ2000" s="12"/>
      <c r="AK2000" s="12"/>
      <c r="AL2000" s="12"/>
      <c r="AM2000" s="12"/>
      <c r="AN2000" s="12"/>
      <c r="AO2000" s="12"/>
      <c r="AP2000" s="12"/>
      <c r="AQ2000" s="12"/>
      <c r="AR2000" s="12"/>
      <c r="AS2000" s="12"/>
      <c r="AT2000" s="12"/>
      <c r="AU2000" s="12"/>
      <c r="AV2000" s="12"/>
    </row>
    <row r="2001"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  <c r="AC2001" s="12"/>
      <c r="AD2001" s="12"/>
      <c r="AE2001" s="12"/>
      <c r="AF2001" s="12"/>
      <c r="AG2001" s="12"/>
      <c r="AH2001" s="12"/>
      <c r="AI2001" s="12"/>
      <c r="AJ2001" s="12"/>
      <c r="AK2001" s="12"/>
      <c r="AL2001" s="12"/>
      <c r="AM2001" s="12"/>
      <c r="AN2001" s="12"/>
      <c r="AO2001" s="12"/>
      <c r="AP2001" s="12"/>
      <c r="AQ2001" s="12"/>
      <c r="AR2001" s="12"/>
      <c r="AS2001" s="12"/>
      <c r="AT2001" s="12"/>
      <c r="AU2001" s="12"/>
      <c r="AV2001" s="12"/>
    </row>
    <row r="2002"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  <c r="AC2002" s="12"/>
      <c r="AD2002" s="12"/>
      <c r="AE2002" s="12"/>
      <c r="AF2002" s="12"/>
      <c r="AG2002" s="12"/>
      <c r="AH2002" s="12"/>
      <c r="AI2002" s="12"/>
      <c r="AJ2002" s="12"/>
      <c r="AK2002" s="12"/>
      <c r="AL2002" s="12"/>
      <c r="AM2002" s="12"/>
      <c r="AN2002" s="12"/>
      <c r="AO2002" s="12"/>
      <c r="AP2002" s="12"/>
      <c r="AQ2002" s="12"/>
      <c r="AR2002" s="12"/>
      <c r="AS2002" s="12"/>
      <c r="AT2002" s="12"/>
      <c r="AU2002" s="12"/>
      <c r="AV2002" s="12"/>
    </row>
    <row r="2003"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  <c r="AC2003" s="12"/>
      <c r="AD2003" s="12"/>
      <c r="AE2003" s="12"/>
      <c r="AF2003" s="12"/>
      <c r="AG2003" s="12"/>
      <c r="AH2003" s="12"/>
      <c r="AI2003" s="12"/>
      <c r="AJ2003" s="12"/>
      <c r="AK2003" s="12"/>
      <c r="AL2003" s="12"/>
      <c r="AM2003" s="12"/>
      <c r="AN2003" s="12"/>
      <c r="AO2003" s="12"/>
      <c r="AP2003" s="12"/>
      <c r="AQ2003" s="12"/>
      <c r="AR2003" s="12"/>
      <c r="AS2003" s="12"/>
      <c r="AT2003" s="12"/>
      <c r="AU2003" s="12"/>
      <c r="AV2003" s="12"/>
    </row>
    <row r="2004"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  <c r="AC2004" s="12"/>
      <c r="AD2004" s="12"/>
      <c r="AE2004" s="12"/>
      <c r="AF2004" s="12"/>
      <c r="AG2004" s="12"/>
      <c r="AH2004" s="12"/>
      <c r="AI2004" s="12"/>
      <c r="AJ2004" s="12"/>
      <c r="AK2004" s="12"/>
      <c r="AL2004" s="12"/>
      <c r="AM2004" s="12"/>
      <c r="AN2004" s="12"/>
      <c r="AO2004" s="12"/>
      <c r="AP2004" s="12"/>
      <c r="AQ2004" s="12"/>
      <c r="AR2004" s="12"/>
      <c r="AS2004" s="12"/>
      <c r="AT2004" s="12"/>
      <c r="AU2004" s="12"/>
      <c r="AV2004" s="12"/>
    </row>
    <row r="2005"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  <c r="AC2005" s="12"/>
      <c r="AD2005" s="12"/>
      <c r="AE2005" s="12"/>
      <c r="AF2005" s="12"/>
      <c r="AG2005" s="12"/>
      <c r="AH2005" s="12"/>
      <c r="AI2005" s="12"/>
      <c r="AJ2005" s="12"/>
      <c r="AK2005" s="12"/>
      <c r="AL2005" s="12"/>
      <c r="AM2005" s="12"/>
      <c r="AN2005" s="12"/>
      <c r="AO2005" s="12"/>
      <c r="AP2005" s="12"/>
      <c r="AQ2005" s="12"/>
      <c r="AR2005" s="12"/>
      <c r="AS2005" s="12"/>
      <c r="AT2005" s="12"/>
      <c r="AU2005" s="12"/>
      <c r="AV2005" s="12"/>
    </row>
    <row r="2006"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  <c r="AO2006" s="12"/>
      <c r="AP2006" s="12"/>
      <c r="AQ2006" s="12"/>
      <c r="AR2006" s="12"/>
      <c r="AS2006" s="12"/>
      <c r="AT2006" s="12"/>
      <c r="AU2006" s="12"/>
      <c r="AV2006" s="12"/>
    </row>
    <row r="2007"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  <c r="AC2007" s="12"/>
      <c r="AD2007" s="12"/>
      <c r="AE2007" s="12"/>
      <c r="AF2007" s="12"/>
      <c r="AG2007" s="12"/>
      <c r="AH2007" s="12"/>
      <c r="AI2007" s="12"/>
      <c r="AJ2007" s="12"/>
      <c r="AK2007" s="12"/>
      <c r="AL2007" s="12"/>
      <c r="AM2007" s="12"/>
      <c r="AN2007" s="12"/>
      <c r="AO2007" s="12"/>
      <c r="AP2007" s="12"/>
      <c r="AQ2007" s="12"/>
      <c r="AR2007" s="12"/>
      <c r="AS2007" s="12"/>
      <c r="AT2007" s="12"/>
      <c r="AU2007" s="12"/>
      <c r="AV2007" s="12"/>
    </row>
    <row r="2008"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  <c r="AC2008" s="12"/>
      <c r="AD2008" s="12"/>
      <c r="AE2008" s="12"/>
      <c r="AF2008" s="12"/>
      <c r="AG2008" s="12"/>
      <c r="AH2008" s="12"/>
      <c r="AI2008" s="12"/>
      <c r="AJ2008" s="12"/>
      <c r="AK2008" s="12"/>
      <c r="AL2008" s="12"/>
      <c r="AM2008" s="12"/>
      <c r="AN2008" s="12"/>
      <c r="AO2008" s="12"/>
      <c r="AP2008" s="12"/>
      <c r="AQ2008" s="12"/>
      <c r="AR2008" s="12"/>
      <c r="AS2008" s="12"/>
      <c r="AT2008" s="12"/>
      <c r="AU2008" s="12"/>
      <c r="AV2008" s="12"/>
    </row>
    <row r="2009"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  <c r="AC2009" s="12"/>
      <c r="AD2009" s="12"/>
      <c r="AE2009" s="12"/>
      <c r="AF2009" s="12"/>
      <c r="AG2009" s="12"/>
      <c r="AH2009" s="12"/>
      <c r="AI2009" s="12"/>
      <c r="AJ2009" s="12"/>
      <c r="AK2009" s="12"/>
      <c r="AL2009" s="12"/>
      <c r="AM2009" s="12"/>
      <c r="AN2009" s="12"/>
      <c r="AO2009" s="12"/>
      <c r="AP2009" s="12"/>
      <c r="AQ2009" s="12"/>
      <c r="AR2009" s="12"/>
      <c r="AS2009" s="12"/>
      <c r="AT2009" s="12"/>
      <c r="AU2009" s="12"/>
      <c r="AV2009" s="12"/>
    </row>
    <row r="2010"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  <c r="AC2010" s="12"/>
      <c r="AD2010" s="12"/>
      <c r="AE2010" s="12"/>
      <c r="AF2010" s="12"/>
      <c r="AG2010" s="12"/>
      <c r="AH2010" s="12"/>
      <c r="AI2010" s="12"/>
      <c r="AJ2010" s="12"/>
      <c r="AK2010" s="12"/>
      <c r="AL2010" s="12"/>
      <c r="AM2010" s="12"/>
      <c r="AN2010" s="12"/>
      <c r="AO2010" s="12"/>
      <c r="AP2010" s="12"/>
      <c r="AQ2010" s="12"/>
      <c r="AR2010" s="12"/>
      <c r="AS2010" s="12"/>
      <c r="AT2010" s="12"/>
      <c r="AU2010" s="12"/>
      <c r="AV2010" s="12"/>
    </row>
    <row r="2011"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  <c r="AC2011" s="12"/>
      <c r="AD2011" s="12"/>
      <c r="AE2011" s="12"/>
      <c r="AF2011" s="12"/>
      <c r="AG2011" s="12"/>
      <c r="AH2011" s="12"/>
      <c r="AI2011" s="12"/>
      <c r="AJ2011" s="12"/>
      <c r="AK2011" s="12"/>
      <c r="AL2011" s="12"/>
      <c r="AM2011" s="12"/>
      <c r="AN2011" s="12"/>
      <c r="AO2011" s="12"/>
      <c r="AP2011" s="12"/>
      <c r="AQ2011" s="12"/>
      <c r="AR2011" s="12"/>
      <c r="AS2011" s="12"/>
      <c r="AT2011" s="12"/>
      <c r="AU2011" s="12"/>
      <c r="AV2011" s="12"/>
    </row>
    <row r="2012"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  <c r="AC2012" s="12"/>
      <c r="AD2012" s="12"/>
      <c r="AE2012" s="12"/>
      <c r="AF2012" s="12"/>
      <c r="AG2012" s="12"/>
      <c r="AH2012" s="12"/>
      <c r="AI2012" s="12"/>
      <c r="AJ2012" s="12"/>
      <c r="AK2012" s="12"/>
      <c r="AL2012" s="12"/>
      <c r="AM2012" s="12"/>
      <c r="AN2012" s="12"/>
      <c r="AO2012" s="12"/>
      <c r="AP2012" s="12"/>
      <c r="AQ2012" s="12"/>
      <c r="AR2012" s="12"/>
      <c r="AS2012" s="12"/>
      <c r="AT2012" s="12"/>
      <c r="AU2012" s="12"/>
      <c r="AV2012" s="12"/>
    </row>
    <row r="2013"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  <c r="AC2013" s="12"/>
      <c r="AD2013" s="12"/>
      <c r="AE2013" s="12"/>
      <c r="AF2013" s="12"/>
      <c r="AG2013" s="12"/>
      <c r="AH2013" s="12"/>
      <c r="AI2013" s="12"/>
      <c r="AJ2013" s="12"/>
      <c r="AK2013" s="12"/>
      <c r="AL2013" s="12"/>
      <c r="AM2013" s="12"/>
      <c r="AN2013" s="12"/>
      <c r="AO2013" s="12"/>
      <c r="AP2013" s="12"/>
      <c r="AQ2013" s="12"/>
      <c r="AR2013" s="12"/>
      <c r="AS2013" s="12"/>
      <c r="AT2013" s="12"/>
      <c r="AU2013" s="12"/>
      <c r="AV2013" s="12"/>
    </row>
    <row r="2014"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  <c r="AC2014" s="12"/>
      <c r="AD2014" s="12"/>
      <c r="AE2014" s="12"/>
      <c r="AF2014" s="12"/>
      <c r="AG2014" s="12"/>
      <c r="AH2014" s="12"/>
      <c r="AI2014" s="12"/>
      <c r="AJ2014" s="12"/>
      <c r="AK2014" s="12"/>
      <c r="AL2014" s="12"/>
      <c r="AM2014" s="12"/>
      <c r="AN2014" s="12"/>
      <c r="AO2014" s="12"/>
      <c r="AP2014" s="12"/>
      <c r="AQ2014" s="12"/>
      <c r="AR2014" s="12"/>
      <c r="AS2014" s="12"/>
      <c r="AT2014" s="12"/>
      <c r="AU2014" s="12"/>
      <c r="AV2014" s="12"/>
    </row>
    <row r="2015"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  <c r="AC2015" s="12"/>
      <c r="AD2015" s="12"/>
      <c r="AE2015" s="12"/>
      <c r="AF2015" s="12"/>
      <c r="AG2015" s="12"/>
      <c r="AH2015" s="12"/>
      <c r="AI2015" s="12"/>
      <c r="AJ2015" s="12"/>
      <c r="AK2015" s="12"/>
      <c r="AL2015" s="12"/>
      <c r="AM2015" s="12"/>
      <c r="AN2015" s="12"/>
      <c r="AO2015" s="12"/>
      <c r="AP2015" s="12"/>
      <c r="AQ2015" s="12"/>
      <c r="AR2015" s="12"/>
      <c r="AS2015" s="12"/>
      <c r="AT2015" s="12"/>
      <c r="AU2015" s="12"/>
      <c r="AV2015" s="12"/>
    </row>
    <row r="2016"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  <c r="AC2016" s="12"/>
      <c r="AD2016" s="12"/>
      <c r="AE2016" s="12"/>
      <c r="AF2016" s="12"/>
      <c r="AG2016" s="12"/>
      <c r="AH2016" s="12"/>
      <c r="AI2016" s="12"/>
      <c r="AJ2016" s="12"/>
      <c r="AK2016" s="12"/>
      <c r="AL2016" s="12"/>
      <c r="AM2016" s="12"/>
      <c r="AN2016" s="12"/>
      <c r="AO2016" s="12"/>
      <c r="AP2016" s="12"/>
      <c r="AQ2016" s="12"/>
      <c r="AR2016" s="12"/>
      <c r="AS2016" s="12"/>
      <c r="AT2016" s="12"/>
      <c r="AU2016" s="12"/>
      <c r="AV2016" s="12"/>
    </row>
    <row r="2017"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  <c r="AC2017" s="12"/>
      <c r="AD2017" s="12"/>
      <c r="AE2017" s="12"/>
      <c r="AF2017" s="12"/>
      <c r="AG2017" s="12"/>
      <c r="AH2017" s="12"/>
      <c r="AI2017" s="12"/>
      <c r="AJ2017" s="12"/>
      <c r="AK2017" s="12"/>
      <c r="AL2017" s="12"/>
      <c r="AM2017" s="12"/>
      <c r="AN2017" s="12"/>
      <c r="AO2017" s="12"/>
      <c r="AP2017" s="12"/>
      <c r="AQ2017" s="12"/>
      <c r="AR2017" s="12"/>
      <c r="AS2017" s="12"/>
      <c r="AT2017" s="12"/>
      <c r="AU2017" s="12"/>
      <c r="AV2017" s="12"/>
    </row>
    <row r="2018"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  <c r="AC2018" s="12"/>
      <c r="AD2018" s="12"/>
      <c r="AE2018" s="12"/>
      <c r="AF2018" s="12"/>
      <c r="AG2018" s="12"/>
      <c r="AH2018" s="12"/>
      <c r="AI2018" s="12"/>
      <c r="AJ2018" s="12"/>
      <c r="AK2018" s="12"/>
      <c r="AL2018" s="12"/>
      <c r="AM2018" s="12"/>
      <c r="AN2018" s="12"/>
      <c r="AO2018" s="12"/>
      <c r="AP2018" s="12"/>
      <c r="AQ2018" s="12"/>
      <c r="AR2018" s="12"/>
      <c r="AS2018" s="12"/>
      <c r="AT2018" s="12"/>
      <c r="AU2018" s="12"/>
      <c r="AV2018" s="12"/>
    </row>
    <row r="2019"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  <c r="AK2019" s="12"/>
      <c r="AL2019" s="12"/>
      <c r="AM2019" s="12"/>
      <c r="AN2019" s="12"/>
      <c r="AO2019" s="12"/>
      <c r="AP2019" s="12"/>
      <c r="AQ2019" s="12"/>
      <c r="AR2019" s="12"/>
      <c r="AS2019" s="12"/>
      <c r="AT2019" s="12"/>
      <c r="AU2019" s="12"/>
      <c r="AV2019" s="12"/>
    </row>
    <row r="2020"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  <c r="AC2020" s="12"/>
      <c r="AD2020" s="12"/>
      <c r="AE2020" s="12"/>
      <c r="AF2020" s="12"/>
      <c r="AG2020" s="12"/>
      <c r="AH2020" s="12"/>
      <c r="AI2020" s="12"/>
      <c r="AJ2020" s="12"/>
      <c r="AK2020" s="12"/>
      <c r="AL2020" s="12"/>
      <c r="AM2020" s="12"/>
      <c r="AN2020" s="12"/>
      <c r="AO2020" s="12"/>
      <c r="AP2020" s="12"/>
      <c r="AQ2020" s="12"/>
      <c r="AR2020" s="12"/>
      <c r="AS2020" s="12"/>
      <c r="AT2020" s="12"/>
      <c r="AU2020" s="12"/>
      <c r="AV2020" s="12"/>
    </row>
    <row r="2021"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  <c r="AC2021" s="12"/>
      <c r="AD2021" s="12"/>
      <c r="AE2021" s="12"/>
      <c r="AF2021" s="12"/>
      <c r="AG2021" s="12"/>
      <c r="AH2021" s="12"/>
      <c r="AI2021" s="12"/>
      <c r="AJ2021" s="12"/>
      <c r="AK2021" s="12"/>
      <c r="AL2021" s="12"/>
      <c r="AM2021" s="12"/>
      <c r="AN2021" s="12"/>
      <c r="AO2021" s="12"/>
      <c r="AP2021" s="12"/>
      <c r="AQ2021" s="12"/>
      <c r="AR2021" s="12"/>
      <c r="AS2021" s="12"/>
      <c r="AT2021" s="12"/>
      <c r="AU2021" s="12"/>
      <c r="AV2021" s="12"/>
    </row>
    <row r="2022"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  <c r="AC2022" s="12"/>
      <c r="AD2022" s="12"/>
      <c r="AE2022" s="12"/>
      <c r="AF2022" s="12"/>
      <c r="AG2022" s="12"/>
      <c r="AH2022" s="12"/>
      <c r="AI2022" s="12"/>
      <c r="AJ2022" s="12"/>
      <c r="AK2022" s="12"/>
      <c r="AL2022" s="12"/>
      <c r="AM2022" s="12"/>
      <c r="AN2022" s="12"/>
      <c r="AO2022" s="12"/>
      <c r="AP2022" s="12"/>
      <c r="AQ2022" s="12"/>
      <c r="AR2022" s="12"/>
      <c r="AS2022" s="12"/>
      <c r="AT2022" s="12"/>
      <c r="AU2022" s="12"/>
      <c r="AV2022" s="12"/>
    </row>
    <row r="2023"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  <c r="AC2023" s="12"/>
      <c r="AD2023" s="12"/>
      <c r="AE2023" s="12"/>
      <c r="AF2023" s="12"/>
      <c r="AG2023" s="12"/>
      <c r="AH2023" s="12"/>
      <c r="AI2023" s="12"/>
      <c r="AJ2023" s="12"/>
      <c r="AK2023" s="12"/>
      <c r="AL2023" s="12"/>
      <c r="AM2023" s="12"/>
      <c r="AN2023" s="12"/>
      <c r="AO2023" s="12"/>
      <c r="AP2023" s="12"/>
      <c r="AQ2023" s="12"/>
      <c r="AR2023" s="12"/>
      <c r="AS2023" s="12"/>
      <c r="AT2023" s="12"/>
      <c r="AU2023" s="12"/>
      <c r="AV2023" s="12"/>
    </row>
    <row r="2024"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  <c r="AC2024" s="12"/>
      <c r="AD2024" s="12"/>
      <c r="AE2024" s="12"/>
      <c r="AF2024" s="12"/>
      <c r="AG2024" s="12"/>
      <c r="AH2024" s="12"/>
      <c r="AI2024" s="12"/>
      <c r="AJ2024" s="12"/>
      <c r="AK2024" s="12"/>
      <c r="AL2024" s="12"/>
      <c r="AM2024" s="12"/>
      <c r="AN2024" s="12"/>
      <c r="AO2024" s="12"/>
      <c r="AP2024" s="12"/>
      <c r="AQ2024" s="12"/>
      <c r="AR2024" s="12"/>
      <c r="AS2024" s="12"/>
      <c r="AT2024" s="12"/>
      <c r="AU2024" s="12"/>
      <c r="AV2024" s="12"/>
    </row>
    <row r="2025"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  <c r="AC2025" s="12"/>
      <c r="AD2025" s="12"/>
      <c r="AE2025" s="12"/>
      <c r="AF2025" s="12"/>
      <c r="AG2025" s="12"/>
      <c r="AH2025" s="12"/>
      <c r="AI2025" s="12"/>
      <c r="AJ2025" s="12"/>
      <c r="AK2025" s="12"/>
      <c r="AL2025" s="12"/>
      <c r="AM2025" s="12"/>
      <c r="AN2025" s="12"/>
      <c r="AO2025" s="12"/>
      <c r="AP2025" s="12"/>
      <c r="AQ2025" s="12"/>
      <c r="AR2025" s="12"/>
      <c r="AS2025" s="12"/>
      <c r="AT2025" s="12"/>
      <c r="AU2025" s="12"/>
      <c r="AV2025" s="12"/>
    </row>
    <row r="2026"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  <c r="AC2026" s="12"/>
      <c r="AD2026" s="12"/>
      <c r="AE2026" s="12"/>
      <c r="AF2026" s="12"/>
      <c r="AG2026" s="12"/>
      <c r="AH2026" s="12"/>
      <c r="AI2026" s="12"/>
      <c r="AJ2026" s="12"/>
      <c r="AK2026" s="12"/>
      <c r="AL2026" s="12"/>
      <c r="AM2026" s="12"/>
      <c r="AN2026" s="12"/>
      <c r="AO2026" s="12"/>
      <c r="AP2026" s="12"/>
      <c r="AQ2026" s="12"/>
      <c r="AR2026" s="12"/>
      <c r="AS2026" s="12"/>
      <c r="AT2026" s="12"/>
      <c r="AU2026" s="12"/>
      <c r="AV2026" s="12"/>
    </row>
    <row r="2027"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  <c r="AC2027" s="12"/>
      <c r="AD2027" s="12"/>
      <c r="AE2027" s="12"/>
      <c r="AF2027" s="12"/>
      <c r="AG2027" s="12"/>
      <c r="AH2027" s="12"/>
      <c r="AI2027" s="12"/>
      <c r="AJ2027" s="12"/>
      <c r="AK2027" s="12"/>
      <c r="AL2027" s="12"/>
      <c r="AM2027" s="12"/>
      <c r="AN2027" s="12"/>
      <c r="AO2027" s="12"/>
      <c r="AP2027" s="12"/>
      <c r="AQ2027" s="12"/>
      <c r="AR2027" s="12"/>
      <c r="AS2027" s="12"/>
      <c r="AT2027" s="12"/>
      <c r="AU2027" s="12"/>
      <c r="AV2027" s="12"/>
    </row>
    <row r="2028"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  <c r="AC2028" s="12"/>
      <c r="AD2028" s="12"/>
      <c r="AE2028" s="12"/>
      <c r="AF2028" s="12"/>
      <c r="AG2028" s="12"/>
      <c r="AH2028" s="12"/>
      <c r="AI2028" s="12"/>
      <c r="AJ2028" s="12"/>
      <c r="AK2028" s="12"/>
      <c r="AL2028" s="12"/>
      <c r="AM2028" s="12"/>
      <c r="AN2028" s="12"/>
      <c r="AO2028" s="12"/>
      <c r="AP2028" s="12"/>
      <c r="AQ2028" s="12"/>
      <c r="AR2028" s="12"/>
      <c r="AS2028" s="12"/>
      <c r="AT2028" s="12"/>
      <c r="AU2028" s="12"/>
      <c r="AV2028" s="12"/>
    </row>
    <row r="2029"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  <c r="AC2029" s="12"/>
      <c r="AD2029" s="12"/>
      <c r="AE2029" s="12"/>
      <c r="AF2029" s="12"/>
      <c r="AG2029" s="12"/>
      <c r="AH2029" s="12"/>
      <c r="AI2029" s="12"/>
      <c r="AJ2029" s="12"/>
      <c r="AK2029" s="12"/>
      <c r="AL2029" s="12"/>
      <c r="AM2029" s="12"/>
      <c r="AN2029" s="12"/>
      <c r="AO2029" s="12"/>
      <c r="AP2029" s="12"/>
      <c r="AQ2029" s="12"/>
      <c r="AR2029" s="12"/>
      <c r="AS2029" s="12"/>
      <c r="AT2029" s="12"/>
      <c r="AU2029" s="12"/>
      <c r="AV2029" s="12"/>
    </row>
    <row r="2030"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  <c r="AC2030" s="12"/>
      <c r="AD2030" s="12"/>
      <c r="AE2030" s="12"/>
      <c r="AF2030" s="12"/>
      <c r="AG2030" s="12"/>
      <c r="AH2030" s="12"/>
      <c r="AI2030" s="12"/>
      <c r="AJ2030" s="12"/>
      <c r="AK2030" s="12"/>
      <c r="AL2030" s="12"/>
      <c r="AM2030" s="12"/>
      <c r="AN2030" s="12"/>
      <c r="AO2030" s="12"/>
      <c r="AP2030" s="12"/>
      <c r="AQ2030" s="12"/>
      <c r="AR2030" s="12"/>
      <c r="AS2030" s="12"/>
      <c r="AT2030" s="12"/>
      <c r="AU2030" s="12"/>
      <c r="AV2030" s="12"/>
    </row>
    <row r="2031"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  <c r="AC2031" s="12"/>
      <c r="AD2031" s="12"/>
      <c r="AE2031" s="12"/>
      <c r="AF2031" s="12"/>
      <c r="AG2031" s="12"/>
      <c r="AH2031" s="12"/>
      <c r="AI2031" s="12"/>
      <c r="AJ2031" s="12"/>
      <c r="AK2031" s="12"/>
      <c r="AL2031" s="12"/>
      <c r="AM2031" s="12"/>
      <c r="AN2031" s="12"/>
      <c r="AO2031" s="12"/>
      <c r="AP2031" s="12"/>
      <c r="AQ2031" s="12"/>
      <c r="AR2031" s="12"/>
      <c r="AS2031" s="12"/>
      <c r="AT2031" s="12"/>
      <c r="AU2031" s="12"/>
      <c r="AV2031" s="12"/>
    </row>
    <row r="2032"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  <c r="AC2032" s="12"/>
      <c r="AD2032" s="12"/>
      <c r="AE2032" s="12"/>
      <c r="AF2032" s="12"/>
      <c r="AG2032" s="12"/>
      <c r="AH2032" s="12"/>
      <c r="AI2032" s="12"/>
      <c r="AJ2032" s="12"/>
      <c r="AK2032" s="12"/>
      <c r="AL2032" s="12"/>
      <c r="AM2032" s="12"/>
      <c r="AN2032" s="12"/>
      <c r="AO2032" s="12"/>
      <c r="AP2032" s="12"/>
      <c r="AQ2032" s="12"/>
      <c r="AR2032" s="12"/>
      <c r="AS2032" s="12"/>
      <c r="AT2032" s="12"/>
      <c r="AU2032" s="12"/>
      <c r="AV2032" s="12"/>
    </row>
    <row r="2033"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  <c r="AC2033" s="12"/>
      <c r="AD2033" s="12"/>
      <c r="AE2033" s="12"/>
      <c r="AF2033" s="12"/>
      <c r="AG2033" s="12"/>
      <c r="AH2033" s="12"/>
      <c r="AI2033" s="12"/>
      <c r="AJ2033" s="12"/>
      <c r="AK2033" s="12"/>
      <c r="AL2033" s="12"/>
      <c r="AM2033" s="12"/>
      <c r="AN2033" s="12"/>
      <c r="AO2033" s="12"/>
      <c r="AP2033" s="12"/>
      <c r="AQ2033" s="12"/>
      <c r="AR2033" s="12"/>
      <c r="AS2033" s="12"/>
      <c r="AT2033" s="12"/>
      <c r="AU2033" s="12"/>
      <c r="AV2033" s="12"/>
    </row>
    <row r="2034"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  <c r="AC2034" s="12"/>
      <c r="AD2034" s="12"/>
      <c r="AE2034" s="12"/>
      <c r="AF2034" s="12"/>
      <c r="AG2034" s="12"/>
      <c r="AH2034" s="12"/>
      <c r="AI2034" s="12"/>
      <c r="AJ2034" s="12"/>
      <c r="AK2034" s="12"/>
      <c r="AL2034" s="12"/>
      <c r="AM2034" s="12"/>
      <c r="AN2034" s="12"/>
      <c r="AO2034" s="12"/>
      <c r="AP2034" s="12"/>
      <c r="AQ2034" s="12"/>
      <c r="AR2034" s="12"/>
      <c r="AS2034" s="12"/>
      <c r="AT2034" s="12"/>
      <c r="AU2034" s="12"/>
      <c r="AV2034" s="12"/>
    </row>
    <row r="2035"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  <c r="AC2035" s="12"/>
      <c r="AD2035" s="12"/>
      <c r="AE2035" s="12"/>
      <c r="AF2035" s="12"/>
      <c r="AG2035" s="12"/>
      <c r="AH2035" s="12"/>
      <c r="AI2035" s="12"/>
      <c r="AJ2035" s="12"/>
      <c r="AK2035" s="12"/>
      <c r="AL2035" s="12"/>
      <c r="AM2035" s="12"/>
      <c r="AN2035" s="12"/>
      <c r="AO2035" s="12"/>
      <c r="AP2035" s="12"/>
      <c r="AQ2035" s="12"/>
      <c r="AR2035" s="12"/>
      <c r="AS2035" s="12"/>
      <c r="AT2035" s="12"/>
      <c r="AU2035" s="12"/>
      <c r="AV2035" s="12"/>
    </row>
    <row r="2036"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  <c r="AC2036" s="12"/>
      <c r="AD2036" s="12"/>
      <c r="AE2036" s="12"/>
      <c r="AF2036" s="12"/>
      <c r="AG2036" s="12"/>
      <c r="AH2036" s="12"/>
      <c r="AI2036" s="12"/>
      <c r="AJ2036" s="12"/>
      <c r="AK2036" s="12"/>
      <c r="AL2036" s="12"/>
      <c r="AM2036" s="12"/>
      <c r="AN2036" s="12"/>
      <c r="AO2036" s="12"/>
      <c r="AP2036" s="12"/>
      <c r="AQ2036" s="12"/>
      <c r="AR2036" s="12"/>
      <c r="AS2036" s="12"/>
      <c r="AT2036" s="12"/>
      <c r="AU2036" s="12"/>
      <c r="AV2036" s="12"/>
    </row>
    <row r="2037"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  <c r="AC2037" s="12"/>
      <c r="AD2037" s="12"/>
      <c r="AE2037" s="12"/>
      <c r="AF2037" s="12"/>
      <c r="AG2037" s="12"/>
      <c r="AH2037" s="12"/>
      <c r="AI2037" s="12"/>
      <c r="AJ2037" s="12"/>
      <c r="AK2037" s="12"/>
      <c r="AL2037" s="12"/>
      <c r="AM2037" s="12"/>
      <c r="AN2037" s="12"/>
      <c r="AO2037" s="12"/>
      <c r="AP2037" s="12"/>
      <c r="AQ2037" s="12"/>
      <c r="AR2037" s="12"/>
      <c r="AS2037" s="12"/>
      <c r="AT2037" s="12"/>
      <c r="AU2037" s="12"/>
      <c r="AV2037" s="12"/>
    </row>
    <row r="2038"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  <c r="AC2038" s="12"/>
      <c r="AD2038" s="12"/>
      <c r="AE2038" s="12"/>
      <c r="AF2038" s="12"/>
      <c r="AG2038" s="12"/>
      <c r="AH2038" s="12"/>
      <c r="AI2038" s="12"/>
      <c r="AJ2038" s="12"/>
      <c r="AK2038" s="12"/>
      <c r="AL2038" s="12"/>
      <c r="AM2038" s="12"/>
      <c r="AN2038" s="12"/>
      <c r="AO2038" s="12"/>
      <c r="AP2038" s="12"/>
      <c r="AQ2038" s="12"/>
      <c r="AR2038" s="12"/>
      <c r="AS2038" s="12"/>
      <c r="AT2038" s="12"/>
      <c r="AU2038" s="12"/>
      <c r="AV2038" s="12"/>
    </row>
    <row r="2039"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  <c r="AC2039" s="12"/>
      <c r="AD2039" s="12"/>
      <c r="AE2039" s="12"/>
      <c r="AF2039" s="12"/>
      <c r="AG2039" s="12"/>
      <c r="AH2039" s="12"/>
      <c r="AI2039" s="12"/>
      <c r="AJ2039" s="12"/>
      <c r="AK2039" s="12"/>
      <c r="AL2039" s="12"/>
      <c r="AM2039" s="12"/>
      <c r="AN2039" s="12"/>
      <c r="AO2039" s="12"/>
      <c r="AP2039" s="12"/>
      <c r="AQ2039" s="12"/>
      <c r="AR2039" s="12"/>
      <c r="AS2039" s="12"/>
      <c r="AT2039" s="12"/>
      <c r="AU2039" s="12"/>
      <c r="AV2039" s="12"/>
    </row>
    <row r="2040"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  <c r="AC2040" s="12"/>
      <c r="AD2040" s="12"/>
      <c r="AE2040" s="12"/>
      <c r="AF2040" s="12"/>
      <c r="AG2040" s="12"/>
      <c r="AH2040" s="12"/>
      <c r="AI2040" s="12"/>
      <c r="AJ2040" s="12"/>
      <c r="AK2040" s="12"/>
      <c r="AL2040" s="12"/>
      <c r="AM2040" s="12"/>
      <c r="AN2040" s="12"/>
      <c r="AO2040" s="12"/>
      <c r="AP2040" s="12"/>
      <c r="AQ2040" s="12"/>
      <c r="AR2040" s="12"/>
      <c r="AS2040" s="12"/>
      <c r="AT2040" s="12"/>
      <c r="AU2040" s="12"/>
      <c r="AV2040" s="12"/>
    </row>
    <row r="2041"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  <c r="AC2041" s="12"/>
      <c r="AD2041" s="12"/>
      <c r="AE2041" s="12"/>
      <c r="AF2041" s="12"/>
      <c r="AG2041" s="12"/>
      <c r="AH2041" s="12"/>
      <c r="AI2041" s="12"/>
      <c r="AJ2041" s="12"/>
      <c r="AK2041" s="12"/>
      <c r="AL2041" s="12"/>
      <c r="AM2041" s="12"/>
      <c r="AN2041" s="12"/>
      <c r="AO2041" s="12"/>
      <c r="AP2041" s="12"/>
      <c r="AQ2041" s="12"/>
      <c r="AR2041" s="12"/>
      <c r="AS2041" s="12"/>
      <c r="AT2041" s="12"/>
      <c r="AU2041" s="12"/>
      <c r="AV2041" s="12"/>
    </row>
    <row r="2042"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  <c r="AC2042" s="12"/>
      <c r="AD2042" s="12"/>
      <c r="AE2042" s="12"/>
      <c r="AF2042" s="12"/>
      <c r="AG2042" s="12"/>
      <c r="AH2042" s="12"/>
      <c r="AI2042" s="12"/>
      <c r="AJ2042" s="12"/>
      <c r="AK2042" s="12"/>
      <c r="AL2042" s="12"/>
      <c r="AM2042" s="12"/>
      <c r="AN2042" s="12"/>
      <c r="AO2042" s="12"/>
      <c r="AP2042" s="12"/>
      <c r="AQ2042" s="12"/>
      <c r="AR2042" s="12"/>
      <c r="AS2042" s="12"/>
      <c r="AT2042" s="12"/>
      <c r="AU2042" s="12"/>
      <c r="AV2042" s="12"/>
    </row>
    <row r="2043"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  <c r="AC2043" s="12"/>
      <c r="AD2043" s="12"/>
      <c r="AE2043" s="12"/>
      <c r="AF2043" s="12"/>
      <c r="AG2043" s="12"/>
      <c r="AH2043" s="12"/>
      <c r="AI2043" s="12"/>
      <c r="AJ2043" s="12"/>
      <c r="AK2043" s="12"/>
      <c r="AL2043" s="12"/>
      <c r="AM2043" s="12"/>
      <c r="AN2043" s="12"/>
      <c r="AO2043" s="12"/>
      <c r="AP2043" s="12"/>
      <c r="AQ2043" s="12"/>
      <c r="AR2043" s="12"/>
      <c r="AS2043" s="12"/>
      <c r="AT2043" s="12"/>
      <c r="AU2043" s="12"/>
      <c r="AV2043" s="12"/>
    </row>
    <row r="2044"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  <c r="AC2044" s="12"/>
      <c r="AD2044" s="12"/>
      <c r="AE2044" s="12"/>
      <c r="AF2044" s="12"/>
      <c r="AG2044" s="12"/>
      <c r="AH2044" s="12"/>
      <c r="AI2044" s="12"/>
      <c r="AJ2044" s="12"/>
      <c r="AK2044" s="12"/>
      <c r="AL2044" s="12"/>
      <c r="AM2044" s="12"/>
      <c r="AN2044" s="12"/>
      <c r="AO2044" s="12"/>
      <c r="AP2044" s="12"/>
      <c r="AQ2044" s="12"/>
      <c r="AR2044" s="12"/>
      <c r="AS2044" s="12"/>
      <c r="AT2044" s="12"/>
      <c r="AU2044" s="12"/>
      <c r="AV2044" s="12"/>
    </row>
    <row r="2045"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  <c r="AC2045" s="12"/>
      <c r="AD2045" s="12"/>
      <c r="AE2045" s="12"/>
      <c r="AF2045" s="12"/>
      <c r="AG2045" s="12"/>
      <c r="AH2045" s="12"/>
      <c r="AI2045" s="12"/>
      <c r="AJ2045" s="12"/>
      <c r="AK2045" s="12"/>
      <c r="AL2045" s="12"/>
      <c r="AM2045" s="12"/>
      <c r="AN2045" s="12"/>
      <c r="AO2045" s="12"/>
      <c r="AP2045" s="12"/>
      <c r="AQ2045" s="12"/>
      <c r="AR2045" s="12"/>
      <c r="AS2045" s="12"/>
      <c r="AT2045" s="12"/>
      <c r="AU2045" s="12"/>
      <c r="AV2045" s="12"/>
    </row>
    <row r="2046"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  <c r="AC2046" s="12"/>
      <c r="AD2046" s="12"/>
      <c r="AE2046" s="12"/>
      <c r="AF2046" s="12"/>
      <c r="AG2046" s="12"/>
      <c r="AH2046" s="12"/>
      <c r="AI2046" s="12"/>
      <c r="AJ2046" s="12"/>
      <c r="AK2046" s="12"/>
      <c r="AL2046" s="12"/>
      <c r="AM2046" s="12"/>
      <c r="AN2046" s="12"/>
      <c r="AO2046" s="12"/>
      <c r="AP2046" s="12"/>
      <c r="AQ2046" s="12"/>
      <c r="AR2046" s="12"/>
      <c r="AS2046" s="12"/>
      <c r="AT2046" s="12"/>
      <c r="AU2046" s="12"/>
      <c r="AV2046" s="12"/>
    </row>
    <row r="2047"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  <c r="AC2047" s="12"/>
      <c r="AD2047" s="12"/>
      <c r="AE2047" s="12"/>
      <c r="AF2047" s="12"/>
      <c r="AG2047" s="12"/>
      <c r="AH2047" s="12"/>
      <c r="AI2047" s="12"/>
      <c r="AJ2047" s="12"/>
      <c r="AK2047" s="12"/>
      <c r="AL2047" s="12"/>
      <c r="AM2047" s="12"/>
      <c r="AN2047" s="12"/>
      <c r="AO2047" s="12"/>
      <c r="AP2047" s="12"/>
      <c r="AQ2047" s="12"/>
      <c r="AR2047" s="12"/>
      <c r="AS2047" s="12"/>
      <c r="AT2047" s="12"/>
      <c r="AU2047" s="12"/>
      <c r="AV2047" s="12"/>
    </row>
    <row r="2048"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  <c r="AC2048" s="12"/>
      <c r="AD2048" s="12"/>
      <c r="AE2048" s="12"/>
      <c r="AF2048" s="12"/>
      <c r="AG2048" s="12"/>
      <c r="AH2048" s="12"/>
      <c r="AI2048" s="12"/>
      <c r="AJ2048" s="12"/>
      <c r="AK2048" s="12"/>
      <c r="AL2048" s="12"/>
      <c r="AM2048" s="12"/>
      <c r="AN2048" s="12"/>
      <c r="AO2048" s="12"/>
      <c r="AP2048" s="12"/>
      <c r="AQ2048" s="12"/>
      <c r="AR2048" s="12"/>
      <c r="AS2048" s="12"/>
      <c r="AT2048" s="12"/>
      <c r="AU2048" s="12"/>
      <c r="AV2048" s="12"/>
    </row>
    <row r="2049"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  <c r="AC2049" s="12"/>
      <c r="AD2049" s="12"/>
      <c r="AE2049" s="12"/>
      <c r="AF2049" s="12"/>
      <c r="AG2049" s="12"/>
      <c r="AH2049" s="12"/>
      <c r="AI2049" s="12"/>
      <c r="AJ2049" s="12"/>
      <c r="AK2049" s="12"/>
      <c r="AL2049" s="12"/>
      <c r="AM2049" s="12"/>
      <c r="AN2049" s="12"/>
      <c r="AO2049" s="12"/>
      <c r="AP2049" s="12"/>
      <c r="AQ2049" s="12"/>
      <c r="AR2049" s="12"/>
      <c r="AS2049" s="12"/>
      <c r="AT2049" s="12"/>
      <c r="AU2049" s="12"/>
      <c r="AV2049" s="12"/>
    </row>
    <row r="2050"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  <c r="AC2050" s="12"/>
      <c r="AD2050" s="12"/>
      <c r="AE2050" s="12"/>
      <c r="AF2050" s="12"/>
      <c r="AG2050" s="12"/>
      <c r="AH2050" s="12"/>
      <c r="AI2050" s="12"/>
      <c r="AJ2050" s="12"/>
      <c r="AK2050" s="12"/>
      <c r="AL2050" s="12"/>
      <c r="AM2050" s="12"/>
      <c r="AN2050" s="12"/>
      <c r="AO2050" s="12"/>
      <c r="AP2050" s="12"/>
      <c r="AQ2050" s="12"/>
      <c r="AR2050" s="12"/>
      <c r="AS2050" s="12"/>
      <c r="AT2050" s="12"/>
      <c r="AU2050" s="12"/>
      <c r="AV2050" s="12"/>
    </row>
    <row r="2051"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  <c r="AC2051" s="12"/>
      <c r="AD2051" s="12"/>
      <c r="AE2051" s="12"/>
      <c r="AF2051" s="12"/>
      <c r="AG2051" s="12"/>
      <c r="AH2051" s="12"/>
      <c r="AI2051" s="12"/>
      <c r="AJ2051" s="12"/>
      <c r="AK2051" s="12"/>
      <c r="AL2051" s="12"/>
      <c r="AM2051" s="12"/>
      <c r="AN2051" s="12"/>
      <c r="AO2051" s="12"/>
      <c r="AP2051" s="12"/>
      <c r="AQ2051" s="12"/>
      <c r="AR2051" s="12"/>
      <c r="AS2051" s="12"/>
      <c r="AT2051" s="12"/>
      <c r="AU2051" s="12"/>
      <c r="AV2051" s="12"/>
    </row>
    <row r="2052"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  <c r="AC2052" s="12"/>
      <c r="AD2052" s="12"/>
      <c r="AE2052" s="12"/>
      <c r="AF2052" s="12"/>
      <c r="AG2052" s="12"/>
      <c r="AH2052" s="12"/>
      <c r="AI2052" s="12"/>
      <c r="AJ2052" s="12"/>
      <c r="AK2052" s="12"/>
      <c r="AL2052" s="12"/>
      <c r="AM2052" s="12"/>
      <c r="AN2052" s="12"/>
      <c r="AO2052" s="12"/>
      <c r="AP2052" s="12"/>
      <c r="AQ2052" s="12"/>
      <c r="AR2052" s="12"/>
      <c r="AS2052" s="12"/>
      <c r="AT2052" s="12"/>
      <c r="AU2052" s="12"/>
      <c r="AV2052" s="12"/>
    </row>
    <row r="2053"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  <c r="AC2053" s="12"/>
      <c r="AD2053" s="12"/>
      <c r="AE2053" s="12"/>
      <c r="AF2053" s="12"/>
      <c r="AG2053" s="12"/>
      <c r="AH2053" s="12"/>
      <c r="AI2053" s="12"/>
      <c r="AJ2053" s="12"/>
      <c r="AK2053" s="12"/>
      <c r="AL2053" s="12"/>
      <c r="AM2053" s="12"/>
      <c r="AN2053" s="12"/>
      <c r="AO2053" s="12"/>
      <c r="AP2053" s="12"/>
      <c r="AQ2053" s="12"/>
      <c r="AR2053" s="12"/>
      <c r="AS2053" s="12"/>
      <c r="AT2053" s="12"/>
      <c r="AU2053" s="12"/>
      <c r="AV2053" s="12"/>
    </row>
    <row r="2054"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  <c r="AC2054" s="12"/>
      <c r="AD2054" s="12"/>
      <c r="AE2054" s="12"/>
      <c r="AF2054" s="12"/>
      <c r="AG2054" s="12"/>
      <c r="AH2054" s="12"/>
      <c r="AI2054" s="12"/>
      <c r="AJ2054" s="12"/>
      <c r="AK2054" s="12"/>
      <c r="AL2054" s="12"/>
      <c r="AM2054" s="12"/>
      <c r="AN2054" s="12"/>
      <c r="AO2054" s="12"/>
      <c r="AP2054" s="12"/>
      <c r="AQ2054" s="12"/>
      <c r="AR2054" s="12"/>
      <c r="AS2054" s="12"/>
      <c r="AT2054" s="12"/>
      <c r="AU2054" s="12"/>
      <c r="AV2054" s="12"/>
    </row>
    <row r="2055"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  <c r="AC2055" s="12"/>
      <c r="AD2055" s="12"/>
      <c r="AE2055" s="12"/>
      <c r="AF2055" s="12"/>
      <c r="AG2055" s="12"/>
      <c r="AH2055" s="12"/>
      <c r="AI2055" s="12"/>
      <c r="AJ2055" s="12"/>
      <c r="AK2055" s="12"/>
      <c r="AL2055" s="12"/>
      <c r="AM2055" s="12"/>
      <c r="AN2055" s="12"/>
      <c r="AO2055" s="12"/>
      <c r="AP2055" s="12"/>
      <c r="AQ2055" s="12"/>
      <c r="AR2055" s="12"/>
      <c r="AS2055" s="12"/>
      <c r="AT2055" s="12"/>
      <c r="AU2055" s="12"/>
      <c r="AV2055" s="12"/>
    </row>
    <row r="2056"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  <c r="AC2056" s="12"/>
      <c r="AD2056" s="12"/>
      <c r="AE2056" s="12"/>
      <c r="AF2056" s="12"/>
      <c r="AG2056" s="12"/>
      <c r="AH2056" s="12"/>
      <c r="AI2056" s="12"/>
      <c r="AJ2056" s="12"/>
      <c r="AK2056" s="12"/>
      <c r="AL2056" s="12"/>
      <c r="AM2056" s="12"/>
      <c r="AN2056" s="12"/>
      <c r="AO2056" s="12"/>
      <c r="AP2056" s="12"/>
      <c r="AQ2056" s="12"/>
      <c r="AR2056" s="12"/>
      <c r="AS2056" s="12"/>
      <c r="AT2056" s="12"/>
      <c r="AU2056" s="12"/>
      <c r="AV2056" s="12"/>
    </row>
    <row r="2057"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  <c r="AC2057" s="12"/>
      <c r="AD2057" s="12"/>
      <c r="AE2057" s="12"/>
      <c r="AF2057" s="12"/>
      <c r="AG2057" s="12"/>
      <c r="AH2057" s="12"/>
      <c r="AI2057" s="12"/>
      <c r="AJ2057" s="12"/>
      <c r="AK2057" s="12"/>
      <c r="AL2057" s="12"/>
      <c r="AM2057" s="12"/>
      <c r="AN2057" s="12"/>
      <c r="AO2057" s="12"/>
      <c r="AP2057" s="12"/>
      <c r="AQ2057" s="12"/>
      <c r="AR2057" s="12"/>
      <c r="AS2057" s="12"/>
      <c r="AT2057" s="12"/>
      <c r="AU2057" s="12"/>
      <c r="AV2057" s="12"/>
    </row>
    <row r="2058"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  <c r="AC2058" s="12"/>
      <c r="AD2058" s="12"/>
      <c r="AE2058" s="12"/>
      <c r="AF2058" s="12"/>
      <c r="AG2058" s="12"/>
      <c r="AH2058" s="12"/>
      <c r="AI2058" s="12"/>
      <c r="AJ2058" s="12"/>
      <c r="AK2058" s="12"/>
      <c r="AL2058" s="12"/>
      <c r="AM2058" s="12"/>
      <c r="AN2058" s="12"/>
      <c r="AO2058" s="12"/>
      <c r="AP2058" s="12"/>
      <c r="AQ2058" s="12"/>
      <c r="AR2058" s="12"/>
      <c r="AS2058" s="12"/>
      <c r="AT2058" s="12"/>
      <c r="AU2058" s="12"/>
      <c r="AV2058" s="12"/>
    </row>
    <row r="2059"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  <c r="AC2059" s="12"/>
      <c r="AD2059" s="12"/>
      <c r="AE2059" s="12"/>
      <c r="AF2059" s="12"/>
      <c r="AG2059" s="12"/>
      <c r="AH2059" s="12"/>
      <c r="AI2059" s="12"/>
      <c r="AJ2059" s="12"/>
      <c r="AK2059" s="12"/>
      <c r="AL2059" s="12"/>
      <c r="AM2059" s="12"/>
      <c r="AN2059" s="12"/>
      <c r="AO2059" s="12"/>
      <c r="AP2059" s="12"/>
      <c r="AQ2059" s="12"/>
      <c r="AR2059" s="12"/>
      <c r="AS2059" s="12"/>
      <c r="AT2059" s="12"/>
      <c r="AU2059" s="12"/>
      <c r="AV2059" s="12"/>
    </row>
    <row r="2060"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  <c r="AC2060" s="12"/>
      <c r="AD2060" s="12"/>
      <c r="AE2060" s="12"/>
      <c r="AF2060" s="12"/>
      <c r="AG2060" s="12"/>
      <c r="AH2060" s="12"/>
      <c r="AI2060" s="12"/>
      <c r="AJ2060" s="12"/>
      <c r="AK2060" s="12"/>
      <c r="AL2060" s="12"/>
      <c r="AM2060" s="12"/>
      <c r="AN2060" s="12"/>
      <c r="AO2060" s="12"/>
      <c r="AP2060" s="12"/>
      <c r="AQ2060" s="12"/>
      <c r="AR2060" s="12"/>
      <c r="AS2060" s="12"/>
      <c r="AT2060" s="12"/>
      <c r="AU2060" s="12"/>
      <c r="AV2060" s="12"/>
    </row>
    <row r="2061"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  <c r="AC2061" s="12"/>
      <c r="AD2061" s="12"/>
      <c r="AE2061" s="12"/>
      <c r="AF2061" s="12"/>
      <c r="AG2061" s="12"/>
      <c r="AH2061" s="12"/>
      <c r="AI2061" s="12"/>
      <c r="AJ2061" s="12"/>
      <c r="AK2061" s="12"/>
      <c r="AL2061" s="12"/>
      <c r="AM2061" s="12"/>
      <c r="AN2061" s="12"/>
      <c r="AO2061" s="12"/>
      <c r="AP2061" s="12"/>
      <c r="AQ2061" s="12"/>
      <c r="AR2061" s="12"/>
      <c r="AS2061" s="12"/>
      <c r="AT2061" s="12"/>
      <c r="AU2061" s="12"/>
      <c r="AV2061" s="12"/>
    </row>
    <row r="2062"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  <c r="AC2062" s="12"/>
      <c r="AD2062" s="12"/>
      <c r="AE2062" s="12"/>
      <c r="AF2062" s="12"/>
      <c r="AG2062" s="12"/>
      <c r="AH2062" s="12"/>
      <c r="AI2062" s="12"/>
      <c r="AJ2062" s="12"/>
      <c r="AK2062" s="12"/>
      <c r="AL2062" s="12"/>
      <c r="AM2062" s="12"/>
      <c r="AN2062" s="12"/>
      <c r="AO2062" s="12"/>
      <c r="AP2062" s="12"/>
      <c r="AQ2062" s="12"/>
      <c r="AR2062" s="12"/>
      <c r="AS2062" s="12"/>
      <c r="AT2062" s="12"/>
      <c r="AU2062" s="12"/>
      <c r="AV2062" s="12"/>
    </row>
    <row r="2063"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  <c r="AC2063" s="12"/>
      <c r="AD2063" s="12"/>
      <c r="AE2063" s="12"/>
      <c r="AF2063" s="12"/>
      <c r="AG2063" s="12"/>
      <c r="AH2063" s="12"/>
      <c r="AI2063" s="12"/>
      <c r="AJ2063" s="12"/>
      <c r="AK2063" s="12"/>
      <c r="AL2063" s="12"/>
      <c r="AM2063" s="12"/>
      <c r="AN2063" s="12"/>
      <c r="AO2063" s="12"/>
      <c r="AP2063" s="12"/>
      <c r="AQ2063" s="12"/>
      <c r="AR2063" s="12"/>
      <c r="AS2063" s="12"/>
      <c r="AT2063" s="12"/>
      <c r="AU2063" s="12"/>
      <c r="AV2063" s="12"/>
    </row>
    <row r="2064"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  <c r="AC2064" s="12"/>
      <c r="AD2064" s="12"/>
      <c r="AE2064" s="12"/>
      <c r="AF2064" s="12"/>
      <c r="AG2064" s="12"/>
      <c r="AH2064" s="12"/>
      <c r="AI2064" s="12"/>
      <c r="AJ2064" s="12"/>
      <c r="AK2064" s="12"/>
      <c r="AL2064" s="12"/>
      <c r="AM2064" s="12"/>
      <c r="AN2064" s="12"/>
      <c r="AO2064" s="12"/>
      <c r="AP2064" s="12"/>
      <c r="AQ2064" s="12"/>
      <c r="AR2064" s="12"/>
      <c r="AS2064" s="12"/>
      <c r="AT2064" s="12"/>
      <c r="AU2064" s="12"/>
      <c r="AV2064" s="12"/>
    </row>
    <row r="2065"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  <c r="AC2065" s="12"/>
      <c r="AD2065" s="12"/>
      <c r="AE2065" s="12"/>
      <c r="AF2065" s="12"/>
      <c r="AG2065" s="12"/>
      <c r="AH2065" s="12"/>
      <c r="AI2065" s="12"/>
      <c r="AJ2065" s="12"/>
      <c r="AK2065" s="12"/>
      <c r="AL2065" s="12"/>
      <c r="AM2065" s="12"/>
      <c r="AN2065" s="12"/>
      <c r="AO2065" s="12"/>
      <c r="AP2065" s="12"/>
      <c r="AQ2065" s="12"/>
      <c r="AR2065" s="12"/>
      <c r="AS2065" s="12"/>
      <c r="AT2065" s="12"/>
      <c r="AU2065" s="12"/>
      <c r="AV2065" s="12"/>
    </row>
    <row r="2066"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  <c r="AC2066" s="12"/>
      <c r="AD2066" s="12"/>
      <c r="AE2066" s="12"/>
      <c r="AF2066" s="12"/>
      <c r="AG2066" s="12"/>
      <c r="AH2066" s="12"/>
      <c r="AI2066" s="12"/>
      <c r="AJ2066" s="12"/>
      <c r="AK2066" s="12"/>
      <c r="AL2066" s="12"/>
      <c r="AM2066" s="12"/>
      <c r="AN2066" s="12"/>
      <c r="AO2066" s="12"/>
      <c r="AP2066" s="12"/>
      <c r="AQ2066" s="12"/>
      <c r="AR2066" s="12"/>
      <c r="AS2066" s="12"/>
      <c r="AT2066" s="12"/>
      <c r="AU2066" s="12"/>
      <c r="AV2066" s="12"/>
    </row>
    <row r="2067"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  <c r="AC2067" s="12"/>
      <c r="AD2067" s="12"/>
      <c r="AE2067" s="12"/>
      <c r="AF2067" s="12"/>
      <c r="AG2067" s="12"/>
      <c r="AH2067" s="12"/>
      <c r="AI2067" s="12"/>
      <c r="AJ2067" s="12"/>
      <c r="AK2067" s="12"/>
      <c r="AL2067" s="12"/>
      <c r="AM2067" s="12"/>
      <c r="AN2067" s="12"/>
      <c r="AO2067" s="12"/>
      <c r="AP2067" s="12"/>
      <c r="AQ2067" s="12"/>
      <c r="AR2067" s="12"/>
      <c r="AS2067" s="12"/>
      <c r="AT2067" s="12"/>
      <c r="AU2067" s="12"/>
      <c r="AV2067" s="12"/>
    </row>
    <row r="2068"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  <c r="AC2068" s="12"/>
      <c r="AD2068" s="12"/>
      <c r="AE2068" s="12"/>
      <c r="AF2068" s="12"/>
      <c r="AG2068" s="12"/>
      <c r="AH2068" s="12"/>
      <c r="AI2068" s="12"/>
      <c r="AJ2068" s="12"/>
      <c r="AK2068" s="12"/>
      <c r="AL2068" s="12"/>
      <c r="AM2068" s="12"/>
      <c r="AN2068" s="12"/>
      <c r="AO2068" s="12"/>
      <c r="AP2068" s="12"/>
      <c r="AQ2068" s="12"/>
      <c r="AR2068" s="12"/>
      <c r="AS2068" s="12"/>
      <c r="AT2068" s="12"/>
      <c r="AU2068" s="12"/>
      <c r="AV2068" s="12"/>
    </row>
    <row r="2069"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  <c r="AC2069" s="12"/>
      <c r="AD2069" s="12"/>
      <c r="AE2069" s="12"/>
      <c r="AF2069" s="12"/>
      <c r="AG2069" s="12"/>
      <c r="AH2069" s="12"/>
      <c r="AI2069" s="12"/>
      <c r="AJ2069" s="12"/>
      <c r="AK2069" s="12"/>
      <c r="AL2069" s="12"/>
      <c r="AM2069" s="12"/>
      <c r="AN2069" s="12"/>
      <c r="AO2069" s="12"/>
      <c r="AP2069" s="12"/>
      <c r="AQ2069" s="12"/>
      <c r="AR2069" s="12"/>
      <c r="AS2069" s="12"/>
      <c r="AT2069" s="12"/>
      <c r="AU2069" s="12"/>
      <c r="AV2069" s="12"/>
    </row>
    <row r="2070"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  <c r="AC2070" s="12"/>
      <c r="AD2070" s="12"/>
      <c r="AE2070" s="12"/>
      <c r="AF2070" s="12"/>
      <c r="AG2070" s="12"/>
      <c r="AH2070" s="12"/>
      <c r="AI2070" s="12"/>
      <c r="AJ2070" s="12"/>
      <c r="AK2070" s="12"/>
      <c r="AL2070" s="12"/>
      <c r="AM2070" s="12"/>
      <c r="AN2070" s="12"/>
      <c r="AO2070" s="12"/>
      <c r="AP2070" s="12"/>
      <c r="AQ2070" s="12"/>
      <c r="AR2070" s="12"/>
      <c r="AS2070" s="12"/>
      <c r="AT2070" s="12"/>
      <c r="AU2070" s="12"/>
      <c r="AV2070" s="12"/>
    </row>
    <row r="2071"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  <c r="AC2071" s="12"/>
      <c r="AD2071" s="12"/>
      <c r="AE2071" s="12"/>
      <c r="AF2071" s="12"/>
      <c r="AG2071" s="12"/>
      <c r="AH2071" s="12"/>
      <c r="AI2071" s="12"/>
      <c r="AJ2071" s="12"/>
      <c r="AK2071" s="12"/>
      <c r="AL2071" s="12"/>
      <c r="AM2071" s="12"/>
      <c r="AN2071" s="12"/>
      <c r="AO2071" s="12"/>
      <c r="AP2071" s="12"/>
      <c r="AQ2071" s="12"/>
      <c r="AR2071" s="12"/>
      <c r="AS2071" s="12"/>
      <c r="AT2071" s="12"/>
      <c r="AU2071" s="12"/>
      <c r="AV2071" s="12"/>
    </row>
    <row r="2072"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  <c r="AC2072" s="12"/>
      <c r="AD2072" s="12"/>
      <c r="AE2072" s="12"/>
      <c r="AF2072" s="12"/>
      <c r="AG2072" s="12"/>
      <c r="AH2072" s="12"/>
      <c r="AI2072" s="12"/>
      <c r="AJ2072" s="12"/>
      <c r="AK2072" s="12"/>
      <c r="AL2072" s="12"/>
      <c r="AM2072" s="12"/>
      <c r="AN2072" s="12"/>
      <c r="AO2072" s="12"/>
      <c r="AP2072" s="12"/>
      <c r="AQ2072" s="12"/>
      <c r="AR2072" s="12"/>
      <c r="AS2072" s="12"/>
      <c r="AT2072" s="12"/>
      <c r="AU2072" s="12"/>
      <c r="AV2072" s="12"/>
    </row>
    <row r="2073"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  <c r="AC2073" s="12"/>
      <c r="AD2073" s="12"/>
      <c r="AE2073" s="12"/>
      <c r="AF2073" s="12"/>
      <c r="AG2073" s="12"/>
      <c r="AH2073" s="12"/>
      <c r="AI2073" s="12"/>
      <c r="AJ2073" s="12"/>
      <c r="AK2073" s="12"/>
      <c r="AL2073" s="12"/>
      <c r="AM2073" s="12"/>
      <c r="AN2073" s="12"/>
      <c r="AO2073" s="12"/>
      <c r="AP2073" s="12"/>
      <c r="AQ2073" s="12"/>
      <c r="AR2073" s="12"/>
      <c r="AS2073" s="12"/>
      <c r="AT2073" s="12"/>
      <c r="AU2073" s="12"/>
      <c r="AV2073" s="12"/>
    </row>
    <row r="2074"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  <c r="AC2074" s="12"/>
      <c r="AD2074" s="12"/>
      <c r="AE2074" s="12"/>
      <c r="AF2074" s="12"/>
      <c r="AG2074" s="12"/>
      <c r="AH2074" s="12"/>
      <c r="AI2074" s="12"/>
      <c r="AJ2074" s="12"/>
      <c r="AK2074" s="12"/>
      <c r="AL2074" s="12"/>
      <c r="AM2074" s="12"/>
      <c r="AN2074" s="12"/>
      <c r="AO2074" s="12"/>
      <c r="AP2074" s="12"/>
      <c r="AQ2074" s="12"/>
      <c r="AR2074" s="12"/>
      <c r="AS2074" s="12"/>
      <c r="AT2074" s="12"/>
      <c r="AU2074" s="12"/>
      <c r="AV2074" s="12"/>
    </row>
    <row r="2075"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  <c r="AC2075" s="12"/>
      <c r="AD2075" s="12"/>
      <c r="AE2075" s="12"/>
      <c r="AF2075" s="12"/>
      <c r="AG2075" s="12"/>
      <c r="AH2075" s="12"/>
      <c r="AI2075" s="12"/>
      <c r="AJ2075" s="12"/>
      <c r="AK2075" s="12"/>
      <c r="AL2075" s="12"/>
      <c r="AM2075" s="12"/>
      <c r="AN2075" s="12"/>
      <c r="AO2075" s="12"/>
      <c r="AP2075" s="12"/>
      <c r="AQ2075" s="12"/>
      <c r="AR2075" s="12"/>
      <c r="AS2075" s="12"/>
      <c r="AT2075" s="12"/>
      <c r="AU2075" s="12"/>
      <c r="AV2075" s="12"/>
    </row>
    <row r="2076"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  <c r="AC2076" s="12"/>
      <c r="AD2076" s="12"/>
      <c r="AE2076" s="12"/>
      <c r="AF2076" s="12"/>
      <c r="AG2076" s="12"/>
      <c r="AH2076" s="12"/>
      <c r="AI2076" s="12"/>
      <c r="AJ2076" s="12"/>
      <c r="AK2076" s="12"/>
      <c r="AL2076" s="12"/>
      <c r="AM2076" s="12"/>
      <c r="AN2076" s="12"/>
      <c r="AO2076" s="12"/>
      <c r="AP2076" s="12"/>
      <c r="AQ2076" s="12"/>
      <c r="AR2076" s="12"/>
      <c r="AS2076" s="12"/>
      <c r="AT2076" s="12"/>
      <c r="AU2076" s="12"/>
      <c r="AV2076" s="12"/>
    </row>
    <row r="2077"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  <c r="AC2077" s="12"/>
      <c r="AD2077" s="12"/>
      <c r="AE2077" s="12"/>
      <c r="AF2077" s="12"/>
      <c r="AG2077" s="12"/>
      <c r="AH2077" s="12"/>
      <c r="AI2077" s="12"/>
      <c r="AJ2077" s="12"/>
      <c r="AK2077" s="12"/>
      <c r="AL2077" s="12"/>
      <c r="AM2077" s="12"/>
      <c r="AN2077" s="12"/>
      <c r="AO2077" s="12"/>
      <c r="AP2077" s="12"/>
      <c r="AQ2077" s="12"/>
      <c r="AR2077" s="12"/>
      <c r="AS2077" s="12"/>
      <c r="AT2077" s="12"/>
      <c r="AU2077" s="12"/>
      <c r="AV2077" s="12"/>
    </row>
    <row r="2078"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  <c r="AC2078" s="12"/>
      <c r="AD2078" s="12"/>
      <c r="AE2078" s="12"/>
      <c r="AF2078" s="12"/>
      <c r="AG2078" s="12"/>
      <c r="AH2078" s="12"/>
      <c r="AI2078" s="12"/>
      <c r="AJ2078" s="12"/>
      <c r="AK2078" s="12"/>
      <c r="AL2078" s="12"/>
      <c r="AM2078" s="12"/>
      <c r="AN2078" s="12"/>
      <c r="AO2078" s="12"/>
      <c r="AP2078" s="12"/>
      <c r="AQ2078" s="12"/>
      <c r="AR2078" s="12"/>
      <c r="AS2078" s="12"/>
      <c r="AT2078" s="12"/>
      <c r="AU2078" s="12"/>
      <c r="AV2078" s="12"/>
    </row>
    <row r="2079"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  <c r="AC2079" s="12"/>
      <c r="AD2079" s="12"/>
      <c r="AE2079" s="12"/>
      <c r="AF2079" s="12"/>
      <c r="AG2079" s="12"/>
      <c r="AH2079" s="12"/>
      <c r="AI2079" s="12"/>
      <c r="AJ2079" s="12"/>
      <c r="AK2079" s="12"/>
      <c r="AL2079" s="12"/>
      <c r="AM2079" s="12"/>
      <c r="AN2079" s="12"/>
      <c r="AO2079" s="12"/>
      <c r="AP2079" s="12"/>
      <c r="AQ2079" s="12"/>
      <c r="AR2079" s="12"/>
      <c r="AS2079" s="12"/>
      <c r="AT2079" s="12"/>
      <c r="AU2079" s="12"/>
      <c r="AV2079" s="12"/>
    </row>
    <row r="2080"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  <c r="AC2080" s="12"/>
      <c r="AD2080" s="12"/>
      <c r="AE2080" s="12"/>
      <c r="AF2080" s="12"/>
      <c r="AG2080" s="12"/>
      <c r="AH2080" s="12"/>
      <c r="AI2080" s="12"/>
      <c r="AJ2080" s="12"/>
      <c r="AK2080" s="12"/>
      <c r="AL2080" s="12"/>
      <c r="AM2080" s="12"/>
      <c r="AN2080" s="12"/>
      <c r="AO2080" s="12"/>
      <c r="AP2080" s="12"/>
      <c r="AQ2080" s="12"/>
      <c r="AR2080" s="12"/>
      <c r="AS2080" s="12"/>
      <c r="AT2080" s="12"/>
      <c r="AU2080" s="12"/>
      <c r="AV2080" s="12"/>
    </row>
    <row r="2081"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  <c r="AC2081" s="12"/>
      <c r="AD2081" s="12"/>
      <c r="AE2081" s="12"/>
      <c r="AF2081" s="12"/>
      <c r="AG2081" s="12"/>
      <c r="AH2081" s="12"/>
      <c r="AI2081" s="12"/>
      <c r="AJ2081" s="12"/>
      <c r="AK2081" s="12"/>
      <c r="AL2081" s="12"/>
      <c r="AM2081" s="12"/>
      <c r="AN2081" s="12"/>
      <c r="AO2081" s="12"/>
      <c r="AP2081" s="12"/>
      <c r="AQ2081" s="12"/>
      <c r="AR2081" s="12"/>
      <c r="AS2081" s="12"/>
      <c r="AT2081" s="12"/>
      <c r="AU2081" s="12"/>
      <c r="AV2081" s="12"/>
    </row>
    <row r="2082"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  <c r="AC2082" s="12"/>
      <c r="AD2082" s="12"/>
      <c r="AE2082" s="12"/>
      <c r="AF2082" s="12"/>
      <c r="AG2082" s="12"/>
      <c r="AH2082" s="12"/>
      <c r="AI2082" s="12"/>
      <c r="AJ2082" s="12"/>
      <c r="AK2082" s="12"/>
      <c r="AL2082" s="12"/>
      <c r="AM2082" s="12"/>
      <c r="AN2082" s="12"/>
      <c r="AO2082" s="12"/>
      <c r="AP2082" s="12"/>
      <c r="AQ2082" s="12"/>
      <c r="AR2082" s="12"/>
      <c r="AS2082" s="12"/>
      <c r="AT2082" s="12"/>
      <c r="AU2082" s="12"/>
      <c r="AV2082" s="12"/>
    </row>
    <row r="2083"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  <c r="AC2083" s="12"/>
      <c r="AD2083" s="12"/>
      <c r="AE2083" s="12"/>
      <c r="AF2083" s="12"/>
      <c r="AG2083" s="12"/>
      <c r="AH2083" s="12"/>
      <c r="AI2083" s="12"/>
      <c r="AJ2083" s="12"/>
      <c r="AK2083" s="12"/>
      <c r="AL2083" s="12"/>
      <c r="AM2083" s="12"/>
      <c r="AN2083" s="12"/>
      <c r="AO2083" s="12"/>
      <c r="AP2083" s="12"/>
      <c r="AQ2083" s="12"/>
      <c r="AR2083" s="12"/>
      <c r="AS2083" s="12"/>
      <c r="AT2083" s="12"/>
      <c r="AU2083" s="12"/>
      <c r="AV2083" s="12"/>
    </row>
    <row r="2084"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  <c r="AC2084" s="12"/>
      <c r="AD2084" s="12"/>
      <c r="AE2084" s="12"/>
      <c r="AF2084" s="12"/>
      <c r="AG2084" s="12"/>
      <c r="AH2084" s="12"/>
      <c r="AI2084" s="12"/>
      <c r="AJ2084" s="12"/>
      <c r="AK2084" s="12"/>
      <c r="AL2084" s="12"/>
      <c r="AM2084" s="12"/>
      <c r="AN2084" s="12"/>
      <c r="AO2084" s="12"/>
      <c r="AP2084" s="12"/>
      <c r="AQ2084" s="12"/>
      <c r="AR2084" s="12"/>
      <c r="AS2084" s="12"/>
      <c r="AT2084" s="12"/>
      <c r="AU2084" s="12"/>
      <c r="AV2084" s="12"/>
    </row>
    <row r="2085"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  <c r="AC2085" s="12"/>
      <c r="AD2085" s="12"/>
      <c r="AE2085" s="12"/>
      <c r="AF2085" s="12"/>
      <c r="AG2085" s="12"/>
      <c r="AH2085" s="12"/>
      <c r="AI2085" s="12"/>
      <c r="AJ2085" s="12"/>
      <c r="AK2085" s="12"/>
      <c r="AL2085" s="12"/>
      <c r="AM2085" s="12"/>
      <c r="AN2085" s="12"/>
      <c r="AO2085" s="12"/>
      <c r="AP2085" s="12"/>
      <c r="AQ2085" s="12"/>
      <c r="AR2085" s="12"/>
      <c r="AS2085" s="12"/>
      <c r="AT2085" s="12"/>
      <c r="AU2085" s="12"/>
      <c r="AV2085" s="12"/>
    </row>
    <row r="2086"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  <c r="AC2086" s="12"/>
      <c r="AD2086" s="12"/>
      <c r="AE2086" s="12"/>
      <c r="AF2086" s="12"/>
      <c r="AG2086" s="12"/>
      <c r="AH2086" s="12"/>
      <c r="AI2086" s="12"/>
      <c r="AJ2086" s="12"/>
      <c r="AK2086" s="12"/>
      <c r="AL2086" s="12"/>
      <c r="AM2086" s="12"/>
      <c r="AN2086" s="12"/>
      <c r="AO2086" s="12"/>
      <c r="AP2086" s="12"/>
      <c r="AQ2086" s="12"/>
      <c r="AR2086" s="12"/>
      <c r="AS2086" s="12"/>
      <c r="AT2086" s="12"/>
      <c r="AU2086" s="12"/>
      <c r="AV2086" s="12"/>
    </row>
    <row r="2087"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  <c r="AC2087" s="12"/>
      <c r="AD2087" s="12"/>
      <c r="AE2087" s="12"/>
      <c r="AF2087" s="12"/>
      <c r="AG2087" s="12"/>
      <c r="AH2087" s="12"/>
      <c r="AI2087" s="12"/>
      <c r="AJ2087" s="12"/>
      <c r="AK2087" s="12"/>
      <c r="AL2087" s="12"/>
      <c r="AM2087" s="12"/>
      <c r="AN2087" s="12"/>
      <c r="AO2087" s="12"/>
      <c r="AP2087" s="12"/>
      <c r="AQ2087" s="12"/>
      <c r="AR2087" s="12"/>
      <c r="AS2087" s="12"/>
      <c r="AT2087" s="12"/>
      <c r="AU2087" s="12"/>
      <c r="AV2087" s="12"/>
    </row>
    <row r="2088"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  <c r="AC2088" s="12"/>
      <c r="AD2088" s="12"/>
      <c r="AE2088" s="12"/>
      <c r="AF2088" s="12"/>
      <c r="AG2088" s="12"/>
      <c r="AH2088" s="12"/>
      <c r="AI2088" s="12"/>
      <c r="AJ2088" s="12"/>
      <c r="AK2088" s="12"/>
      <c r="AL2088" s="12"/>
      <c r="AM2088" s="12"/>
      <c r="AN2088" s="12"/>
      <c r="AO2088" s="12"/>
      <c r="AP2088" s="12"/>
      <c r="AQ2088" s="12"/>
      <c r="AR2088" s="12"/>
      <c r="AS2088" s="12"/>
      <c r="AT2088" s="12"/>
      <c r="AU2088" s="12"/>
      <c r="AV2088" s="12"/>
    </row>
    <row r="2089"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  <c r="AC2089" s="12"/>
      <c r="AD2089" s="12"/>
      <c r="AE2089" s="12"/>
      <c r="AF2089" s="12"/>
      <c r="AG2089" s="12"/>
      <c r="AH2089" s="12"/>
      <c r="AI2089" s="12"/>
      <c r="AJ2089" s="12"/>
      <c r="AK2089" s="12"/>
      <c r="AL2089" s="12"/>
      <c r="AM2089" s="12"/>
      <c r="AN2089" s="12"/>
      <c r="AO2089" s="12"/>
      <c r="AP2089" s="12"/>
      <c r="AQ2089" s="12"/>
      <c r="AR2089" s="12"/>
      <c r="AS2089" s="12"/>
      <c r="AT2089" s="12"/>
      <c r="AU2089" s="12"/>
      <c r="AV2089" s="12"/>
    </row>
    <row r="2090"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  <c r="AC2090" s="12"/>
      <c r="AD2090" s="12"/>
      <c r="AE2090" s="12"/>
      <c r="AF2090" s="12"/>
      <c r="AG2090" s="12"/>
      <c r="AH2090" s="12"/>
      <c r="AI2090" s="12"/>
      <c r="AJ2090" s="12"/>
      <c r="AK2090" s="12"/>
      <c r="AL2090" s="12"/>
      <c r="AM2090" s="12"/>
      <c r="AN2090" s="12"/>
      <c r="AO2090" s="12"/>
      <c r="AP2090" s="12"/>
      <c r="AQ2090" s="12"/>
      <c r="AR2090" s="12"/>
      <c r="AS2090" s="12"/>
      <c r="AT2090" s="12"/>
      <c r="AU2090" s="12"/>
      <c r="AV2090" s="12"/>
    </row>
    <row r="2091"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  <c r="AC2091" s="12"/>
      <c r="AD2091" s="12"/>
      <c r="AE2091" s="12"/>
      <c r="AF2091" s="12"/>
      <c r="AG2091" s="12"/>
      <c r="AH2091" s="12"/>
      <c r="AI2091" s="12"/>
      <c r="AJ2091" s="12"/>
      <c r="AK2091" s="12"/>
      <c r="AL2091" s="12"/>
      <c r="AM2091" s="12"/>
      <c r="AN2091" s="12"/>
      <c r="AO2091" s="12"/>
      <c r="AP2091" s="12"/>
      <c r="AQ2091" s="12"/>
      <c r="AR2091" s="12"/>
      <c r="AS2091" s="12"/>
      <c r="AT2091" s="12"/>
      <c r="AU2091" s="12"/>
      <c r="AV2091" s="12"/>
    </row>
    <row r="2092"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  <c r="AC2092" s="12"/>
      <c r="AD2092" s="12"/>
      <c r="AE2092" s="12"/>
      <c r="AF2092" s="12"/>
      <c r="AG2092" s="12"/>
      <c r="AH2092" s="12"/>
      <c r="AI2092" s="12"/>
      <c r="AJ2092" s="12"/>
      <c r="AK2092" s="12"/>
      <c r="AL2092" s="12"/>
      <c r="AM2092" s="12"/>
      <c r="AN2092" s="12"/>
      <c r="AO2092" s="12"/>
      <c r="AP2092" s="12"/>
      <c r="AQ2092" s="12"/>
      <c r="AR2092" s="12"/>
      <c r="AS2092" s="12"/>
      <c r="AT2092" s="12"/>
      <c r="AU2092" s="12"/>
      <c r="AV2092" s="12"/>
    </row>
    <row r="2093"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  <c r="AC2093" s="12"/>
      <c r="AD2093" s="12"/>
      <c r="AE2093" s="12"/>
      <c r="AF2093" s="12"/>
      <c r="AG2093" s="12"/>
      <c r="AH2093" s="12"/>
      <c r="AI2093" s="12"/>
      <c r="AJ2093" s="12"/>
      <c r="AK2093" s="12"/>
      <c r="AL2093" s="12"/>
      <c r="AM2093" s="12"/>
      <c r="AN2093" s="12"/>
      <c r="AO2093" s="12"/>
      <c r="AP2093" s="12"/>
      <c r="AQ2093" s="12"/>
      <c r="AR2093" s="12"/>
      <c r="AS2093" s="12"/>
      <c r="AT2093" s="12"/>
      <c r="AU2093" s="12"/>
      <c r="AV2093" s="12"/>
    </row>
    <row r="2094"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  <c r="AC2094" s="12"/>
      <c r="AD2094" s="12"/>
      <c r="AE2094" s="12"/>
      <c r="AF2094" s="12"/>
      <c r="AG2094" s="12"/>
      <c r="AH2094" s="12"/>
      <c r="AI2094" s="12"/>
      <c r="AJ2094" s="12"/>
      <c r="AK2094" s="12"/>
      <c r="AL2094" s="12"/>
      <c r="AM2094" s="12"/>
      <c r="AN2094" s="12"/>
      <c r="AO2094" s="12"/>
      <c r="AP2094" s="12"/>
      <c r="AQ2094" s="12"/>
      <c r="AR2094" s="12"/>
      <c r="AS2094" s="12"/>
      <c r="AT2094" s="12"/>
      <c r="AU2094" s="12"/>
      <c r="AV2094" s="12"/>
    </row>
    <row r="2095"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  <c r="AC2095" s="12"/>
      <c r="AD2095" s="12"/>
      <c r="AE2095" s="12"/>
      <c r="AF2095" s="12"/>
      <c r="AG2095" s="12"/>
      <c r="AH2095" s="12"/>
      <c r="AI2095" s="12"/>
      <c r="AJ2095" s="12"/>
      <c r="AK2095" s="12"/>
      <c r="AL2095" s="12"/>
      <c r="AM2095" s="12"/>
      <c r="AN2095" s="12"/>
      <c r="AO2095" s="12"/>
      <c r="AP2095" s="12"/>
      <c r="AQ2095" s="12"/>
      <c r="AR2095" s="12"/>
      <c r="AS2095" s="12"/>
      <c r="AT2095" s="12"/>
      <c r="AU2095" s="12"/>
      <c r="AV2095" s="12"/>
    </row>
    <row r="2096">
      <c r="S2096" s="12"/>
      <c r="T2096" s="12"/>
      <c r="U2096" s="12"/>
      <c r="V2096" s="12"/>
      <c r="W2096" s="12"/>
      <c r="X2096" s="12"/>
      <c r="Y2096" s="12"/>
      <c r="Z2096" s="12"/>
      <c r="AA2096" s="12"/>
      <c r="AB2096" s="12"/>
      <c r="AC2096" s="12"/>
      <c r="AD2096" s="12"/>
      <c r="AE2096" s="12"/>
      <c r="AF2096" s="12"/>
      <c r="AG2096" s="12"/>
      <c r="AH2096" s="12"/>
      <c r="AI2096" s="12"/>
      <c r="AJ2096" s="12"/>
      <c r="AK2096" s="12"/>
      <c r="AL2096" s="12"/>
      <c r="AM2096" s="12"/>
      <c r="AN2096" s="12"/>
      <c r="AO2096" s="12"/>
      <c r="AP2096" s="12"/>
      <c r="AQ2096" s="12"/>
      <c r="AR2096" s="12"/>
      <c r="AS2096" s="12"/>
      <c r="AT2096" s="12"/>
      <c r="AU2096" s="12"/>
      <c r="AV2096" s="12"/>
    </row>
    <row r="2097">
      <c r="S2097" s="12"/>
      <c r="T2097" s="12"/>
      <c r="U2097" s="12"/>
      <c r="V2097" s="12"/>
      <c r="W2097" s="12"/>
      <c r="X2097" s="12"/>
      <c r="Y2097" s="12"/>
      <c r="Z2097" s="12"/>
      <c r="AA2097" s="12"/>
      <c r="AB2097" s="12"/>
      <c r="AC2097" s="12"/>
      <c r="AD2097" s="12"/>
      <c r="AE2097" s="12"/>
      <c r="AF2097" s="12"/>
      <c r="AG2097" s="12"/>
      <c r="AH2097" s="12"/>
      <c r="AI2097" s="12"/>
      <c r="AJ2097" s="12"/>
      <c r="AK2097" s="12"/>
      <c r="AL2097" s="12"/>
      <c r="AM2097" s="12"/>
      <c r="AN2097" s="12"/>
      <c r="AO2097" s="12"/>
      <c r="AP2097" s="12"/>
      <c r="AQ2097" s="12"/>
      <c r="AR2097" s="12"/>
      <c r="AS2097" s="12"/>
      <c r="AT2097" s="12"/>
      <c r="AU2097" s="12"/>
      <c r="AV2097" s="12"/>
    </row>
    <row r="2098">
      <c r="S2098" s="12"/>
      <c r="T2098" s="12"/>
      <c r="U2098" s="12"/>
      <c r="V2098" s="12"/>
      <c r="W2098" s="12"/>
      <c r="X2098" s="12"/>
      <c r="Y2098" s="12"/>
      <c r="Z2098" s="12"/>
      <c r="AA2098" s="12"/>
      <c r="AB2098" s="12"/>
      <c r="AC2098" s="12"/>
      <c r="AD2098" s="12"/>
      <c r="AE2098" s="12"/>
      <c r="AF2098" s="12"/>
      <c r="AG2098" s="12"/>
      <c r="AH2098" s="12"/>
      <c r="AI2098" s="12"/>
      <c r="AJ2098" s="12"/>
      <c r="AK2098" s="12"/>
      <c r="AL2098" s="12"/>
      <c r="AM2098" s="12"/>
      <c r="AN2098" s="12"/>
      <c r="AO2098" s="12"/>
      <c r="AP2098" s="12"/>
      <c r="AQ2098" s="12"/>
      <c r="AR2098" s="12"/>
      <c r="AS2098" s="12"/>
      <c r="AT2098" s="12"/>
      <c r="AU2098" s="12"/>
      <c r="AV2098" s="12"/>
    </row>
    <row r="2099">
      <c r="S2099" s="12"/>
      <c r="T2099" s="12"/>
      <c r="U2099" s="12"/>
      <c r="V2099" s="12"/>
      <c r="W2099" s="12"/>
      <c r="X2099" s="12"/>
      <c r="Y2099" s="12"/>
      <c r="Z2099" s="12"/>
      <c r="AA2099" s="12"/>
      <c r="AB2099" s="12"/>
      <c r="AC2099" s="12"/>
      <c r="AD2099" s="12"/>
      <c r="AE2099" s="12"/>
      <c r="AF2099" s="12"/>
      <c r="AG2099" s="12"/>
      <c r="AH2099" s="12"/>
      <c r="AI2099" s="12"/>
      <c r="AJ2099" s="12"/>
      <c r="AK2099" s="12"/>
      <c r="AL2099" s="12"/>
      <c r="AM2099" s="12"/>
      <c r="AN2099" s="12"/>
      <c r="AO2099" s="12"/>
      <c r="AP2099" s="12"/>
      <c r="AQ2099" s="12"/>
      <c r="AR2099" s="12"/>
      <c r="AS2099" s="12"/>
      <c r="AT2099" s="12"/>
      <c r="AU2099" s="12"/>
      <c r="AV2099" s="12"/>
    </row>
    <row r="2100">
      <c r="S2100" s="12"/>
      <c r="T2100" s="12"/>
      <c r="U2100" s="12"/>
      <c r="V2100" s="12"/>
      <c r="W2100" s="12"/>
      <c r="X2100" s="12"/>
      <c r="Y2100" s="12"/>
      <c r="Z2100" s="12"/>
      <c r="AA2100" s="12"/>
      <c r="AB2100" s="12"/>
      <c r="AC2100" s="12"/>
      <c r="AD2100" s="12"/>
      <c r="AE2100" s="12"/>
      <c r="AF2100" s="12"/>
      <c r="AG2100" s="12"/>
      <c r="AH2100" s="12"/>
      <c r="AI2100" s="12"/>
      <c r="AJ2100" s="12"/>
      <c r="AK2100" s="12"/>
      <c r="AL2100" s="12"/>
      <c r="AM2100" s="12"/>
      <c r="AN2100" s="12"/>
      <c r="AO2100" s="12"/>
      <c r="AP2100" s="12"/>
      <c r="AQ2100" s="12"/>
      <c r="AR2100" s="12"/>
      <c r="AS2100" s="12"/>
      <c r="AT2100" s="12"/>
      <c r="AU2100" s="12"/>
      <c r="AV2100" s="12"/>
    </row>
    <row r="2101">
      <c r="S2101" s="12"/>
      <c r="T2101" s="12"/>
      <c r="U2101" s="12"/>
      <c r="V2101" s="12"/>
      <c r="W2101" s="12"/>
      <c r="X2101" s="12"/>
      <c r="Y2101" s="12"/>
      <c r="Z2101" s="12"/>
      <c r="AA2101" s="12"/>
      <c r="AB2101" s="12"/>
      <c r="AC2101" s="12"/>
      <c r="AD2101" s="12"/>
      <c r="AE2101" s="12"/>
      <c r="AF2101" s="12"/>
      <c r="AG2101" s="12"/>
      <c r="AH2101" s="12"/>
      <c r="AI2101" s="12"/>
      <c r="AJ2101" s="12"/>
      <c r="AK2101" s="12"/>
      <c r="AL2101" s="12"/>
      <c r="AM2101" s="12"/>
      <c r="AN2101" s="12"/>
      <c r="AO2101" s="12"/>
      <c r="AP2101" s="12"/>
      <c r="AQ2101" s="12"/>
      <c r="AR2101" s="12"/>
      <c r="AS2101" s="12"/>
      <c r="AT2101" s="12"/>
      <c r="AU2101" s="12"/>
      <c r="AV2101" s="12"/>
    </row>
    <row r="2102">
      <c r="S2102" s="12"/>
      <c r="T2102" s="12"/>
      <c r="U2102" s="12"/>
      <c r="V2102" s="12"/>
      <c r="W2102" s="12"/>
      <c r="X2102" s="12"/>
      <c r="Y2102" s="12"/>
      <c r="Z2102" s="12"/>
      <c r="AA2102" s="12"/>
      <c r="AB2102" s="12"/>
      <c r="AC2102" s="12"/>
      <c r="AD2102" s="12"/>
      <c r="AE2102" s="12"/>
      <c r="AF2102" s="12"/>
      <c r="AG2102" s="12"/>
      <c r="AH2102" s="12"/>
      <c r="AI2102" s="12"/>
      <c r="AJ2102" s="12"/>
      <c r="AK2102" s="12"/>
      <c r="AL2102" s="12"/>
      <c r="AM2102" s="12"/>
      <c r="AN2102" s="12"/>
      <c r="AO2102" s="12"/>
      <c r="AP2102" s="12"/>
      <c r="AQ2102" s="12"/>
      <c r="AR2102" s="12"/>
      <c r="AS2102" s="12"/>
      <c r="AT2102" s="12"/>
      <c r="AU2102" s="12"/>
      <c r="AV2102" s="12"/>
    </row>
    <row r="2103">
      <c r="S2103" s="12"/>
      <c r="T2103" s="12"/>
      <c r="U2103" s="12"/>
      <c r="V2103" s="12"/>
      <c r="W2103" s="12"/>
      <c r="X2103" s="12"/>
      <c r="Y2103" s="12"/>
      <c r="Z2103" s="12"/>
      <c r="AA2103" s="12"/>
      <c r="AB2103" s="12"/>
      <c r="AC2103" s="12"/>
      <c r="AD2103" s="12"/>
      <c r="AE2103" s="12"/>
      <c r="AF2103" s="12"/>
      <c r="AG2103" s="12"/>
      <c r="AH2103" s="12"/>
      <c r="AI2103" s="12"/>
      <c r="AJ2103" s="12"/>
      <c r="AK2103" s="12"/>
      <c r="AL2103" s="12"/>
      <c r="AM2103" s="12"/>
      <c r="AN2103" s="12"/>
      <c r="AO2103" s="12"/>
      <c r="AP2103" s="12"/>
      <c r="AQ2103" s="12"/>
      <c r="AR2103" s="12"/>
      <c r="AS2103" s="12"/>
      <c r="AT2103" s="12"/>
      <c r="AU2103" s="12"/>
      <c r="AV2103" s="12"/>
    </row>
    <row r="2104">
      <c r="S2104" s="12"/>
      <c r="T2104" s="12"/>
      <c r="U2104" s="12"/>
      <c r="V2104" s="12"/>
      <c r="W2104" s="12"/>
      <c r="X2104" s="12"/>
      <c r="Y2104" s="12"/>
      <c r="Z2104" s="12"/>
      <c r="AA2104" s="12"/>
      <c r="AB2104" s="12"/>
      <c r="AC2104" s="12"/>
      <c r="AD2104" s="12"/>
      <c r="AE2104" s="12"/>
      <c r="AF2104" s="12"/>
      <c r="AG2104" s="12"/>
      <c r="AH2104" s="12"/>
      <c r="AI2104" s="12"/>
      <c r="AJ2104" s="12"/>
      <c r="AK2104" s="12"/>
      <c r="AL2104" s="12"/>
      <c r="AM2104" s="12"/>
      <c r="AN2104" s="12"/>
      <c r="AO2104" s="12"/>
      <c r="AP2104" s="12"/>
      <c r="AQ2104" s="12"/>
      <c r="AR2104" s="12"/>
      <c r="AS2104" s="12"/>
      <c r="AT2104" s="12"/>
      <c r="AU2104" s="12"/>
      <c r="AV2104" s="12"/>
    </row>
    <row r="2105">
      <c r="S2105" s="12"/>
      <c r="T2105" s="12"/>
      <c r="U2105" s="12"/>
      <c r="V2105" s="12"/>
      <c r="W2105" s="12"/>
      <c r="X2105" s="12"/>
      <c r="Y2105" s="12"/>
      <c r="Z2105" s="12"/>
      <c r="AA2105" s="12"/>
      <c r="AB2105" s="12"/>
      <c r="AC2105" s="12"/>
      <c r="AD2105" s="12"/>
      <c r="AE2105" s="12"/>
      <c r="AF2105" s="12"/>
      <c r="AG2105" s="12"/>
      <c r="AH2105" s="12"/>
      <c r="AI2105" s="12"/>
      <c r="AJ2105" s="12"/>
      <c r="AK2105" s="12"/>
      <c r="AL2105" s="12"/>
      <c r="AM2105" s="12"/>
      <c r="AN2105" s="12"/>
      <c r="AO2105" s="12"/>
      <c r="AP2105" s="12"/>
      <c r="AQ2105" s="12"/>
      <c r="AR2105" s="12"/>
      <c r="AS2105" s="12"/>
      <c r="AT2105" s="12"/>
      <c r="AU2105" s="12"/>
      <c r="AV2105" s="12"/>
    </row>
    <row r="2106">
      <c r="S2106" s="12"/>
      <c r="T2106" s="12"/>
      <c r="U2106" s="12"/>
      <c r="V2106" s="12"/>
      <c r="W2106" s="12"/>
      <c r="X2106" s="12"/>
      <c r="Y2106" s="12"/>
      <c r="Z2106" s="12"/>
      <c r="AA2106" s="12"/>
      <c r="AB2106" s="12"/>
      <c r="AC2106" s="12"/>
      <c r="AD2106" s="12"/>
      <c r="AE2106" s="12"/>
      <c r="AF2106" s="12"/>
      <c r="AG2106" s="12"/>
      <c r="AH2106" s="12"/>
      <c r="AI2106" s="12"/>
      <c r="AJ2106" s="12"/>
      <c r="AK2106" s="12"/>
      <c r="AL2106" s="12"/>
      <c r="AM2106" s="12"/>
      <c r="AN2106" s="12"/>
      <c r="AO2106" s="12"/>
      <c r="AP2106" s="12"/>
      <c r="AQ2106" s="12"/>
      <c r="AR2106" s="12"/>
      <c r="AS2106" s="12"/>
      <c r="AT2106" s="12"/>
      <c r="AU2106" s="12"/>
      <c r="AV2106" s="12"/>
    </row>
    <row r="2107">
      <c r="S2107" s="12"/>
      <c r="T2107" s="12"/>
      <c r="U2107" s="12"/>
      <c r="V2107" s="12"/>
      <c r="W2107" s="12"/>
      <c r="X2107" s="12"/>
      <c r="Y2107" s="12"/>
      <c r="Z2107" s="12"/>
      <c r="AA2107" s="12"/>
      <c r="AB2107" s="12"/>
      <c r="AC2107" s="12"/>
      <c r="AD2107" s="12"/>
      <c r="AE2107" s="12"/>
      <c r="AF2107" s="12"/>
      <c r="AG2107" s="12"/>
      <c r="AH2107" s="12"/>
      <c r="AI2107" s="12"/>
      <c r="AJ2107" s="12"/>
      <c r="AK2107" s="12"/>
      <c r="AL2107" s="12"/>
      <c r="AM2107" s="12"/>
      <c r="AN2107" s="12"/>
      <c r="AO2107" s="12"/>
      <c r="AP2107" s="12"/>
      <c r="AQ2107" s="12"/>
      <c r="AR2107" s="12"/>
      <c r="AS2107" s="12"/>
      <c r="AT2107" s="12"/>
      <c r="AU2107" s="12"/>
      <c r="AV2107" s="12"/>
    </row>
    <row r="2108">
      <c r="S2108" s="12"/>
      <c r="T2108" s="12"/>
      <c r="U2108" s="12"/>
      <c r="V2108" s="12"/>
      <c r="W2108" s="12"/>
      <c r="X2108" s="12"/>
      <c r="Y2108" s="12"/>
      <c r="Z2108" s="12"/>
      <c r="AA2108" s="12"/>
      <c r="AB2108" s="12"/>
      <c r="AC2108" s="12"/>
      <c r="AD2108" s="12"/>
      <c r="AE2108" s="12"/>
      <c r="AF2108" s="12"/>
      <c r="AG2108" s="12"/>
      <c r="AH2108" s="12"/>
      <c r="AI2108" s="12"/>
      <c r="AJ2108" s="12"/>
      <c r="AK2108" s="12"/>
      <c r="AL2108" s="12"/>
      <c r="AM2108" s="12"/>
      <c r="AN2108" s="12"/>
      <c r="AO2108" s="12"/>
      <c r="AP2108" s="12"/>
      <c r="AQ2108" s="12"/>
      <c r="AR2108" s="12"/>
      <c r="AS2108" s="12"/>
      <c r="AT2108" s="12"/>
      <c r="AU2108" s="12"/>
      <c r="AV2108" s="12"/>
    </row>
    <row r="2109">
      <c r="S2109" s="12"/>
      <c r="T2109" s="12"/>
      <c r="U2109" s="12"/>
      <c r="V2109" s="12"/>
      <c r="W2109" s="12"/>
      <c r="X2109" s="12"/>
      <c r="Y2109" s="12"/>
      <c r="Z2109" s="12"/>
      <c r="AA2109" s="12"/>
      <c r="AB2109" s="12"/>
      <c r="AC2109" s="12"/>
      <c r="AD2109" s="12"/>
      <c r="AE2109" s="12"/>
      <c r="AF2109" s="12"/>
      <c r="AG2109" s="12"/>
      <c r="AH2109" s="12"/>
      <c r="AI2109" s="12"/>
      <c r="AJ2109" s="12"/>
      <c r="AK2109" s="12"/>
      <c r="AL2109" s="12"/>
      <c r="AM2109" s="12"/>
      <c r="AN2109" s="12"/>
      <c r="AO2109" s="12"/>
      <c r="AP2109" s="12"/>
      <c r="AQ2109" s="12"/>
      <c r="AR2109" s="12"/>
      <c r="AS2109" s="12"/>
      <c r="AT2109" s="12"/>
      <c r="AU2109" s="12"/>
      <c r="AV2109" s="12"/>
    </row>
    <row r="2110">
      <c r="S2110" s="12"/>
      <c r="T2110" s="12"/>
      <c r="U2110" s="12"/>
      <c r="V2110" s="12"/>
      <c r="W2110" s="12"/>
      <c r="X2110" s="12"/>
      <c r="Y2110" s="12"/>
      <c r="Z2110" s="12"/>
      <c r="AA2110" s="12"/>
      <c r="AB2110" s="12"/>
      <c r="AC2110" s="12"/>
      <c r="AD2110" s="12"/>
      <c r="AE2110" s="12"/>
      <c r="AF2110" s="12"/>
      <c r="AG2110" s="12"/>
      <c r="AH2110" s="12"/>
      <c r="AI2110" s="12"/>
      <c r="AJ2110" s="12"/>
      <c r="AK2110" s="12"/>
      <c r="AL2110" s="12"/>
      <c r="AM2110" s="12"/>
      <c r="AN2110" s="12"/>
      <c r="AO2110" s="12"/>
      <c r="AP2110" s="12"/>
      <c r="AQ2110" s="12"/>
      <c r="AR2110" s="12"/>
      <c r="AS2110" s="12"/>
      <c r="AT2110" s="12"/>
      <c r="AU2110" s="12"/>
      <c r="AV2110" s="12"/>
    </row>
    <row r="2111">
      <c r="S2111" s="12"/>
      <c r="T2111" s="12"/>
      <c r="U2111" s="12"/>
      <c r="V2111" s="12"/>
      <c r="W2111" s="12"/>
      <c r="X2111" s="12"/>
      <c r="Y2111" s="12"/>
      <c r="Z2111" s="12"/>
      <c r="AA2111" s="12"/>
      <c r="AB2111" s="12"/>
      <c r="AC2111" s="12"/>
      <c r="AD2111" s="12"/>
      <c r="AE2111" s="12"/>
      <c r="AF2111" s="12"/>
      <c r="AG2111" s="12"/>
      <c r="AH2111" s="12"/>
      <c r="AI2111" s="12"/>
      <c r="AJ2111" s="12"/>
      <c r="AK2111" s="12"/>
      <c r="AL2111" s="12"/>
      <c r="AM2111" s="12"/>
      <c r="AN2111" s="12"/>
      <c r="AO2111" s="12"/>
      <c r="AP2111" s="12"/>
      <c r="AQ2111" s="12"/>
      <c r="AR2111" s="12"/>
      <c r="AS2111" s="12"/>
      <c r="AT2111" s="12"/>
      <c r="AU2111" s="12"/>
      <c r="AV2111" s="12"/>
    </row>
    <row r="2112">
      <c r="S2112" s="12"/>
      <c r="T2112" s="12"/>
      <c r="U2112" s="12"/>
      <c r="V2112" s="12"/>
      <c r="W2112" s="12"/>
      <c r="X2112" s="12"/>
      <c r="Y2112" s="12"/>
      <c r="Z2112" s="12"/>
      <c r="AA2112" s="12"/>
      <c r="AB2112" s="12"/>
      <c r="AC2112" s="12"/>
      <c r="AD2112" s="12"/>
      <c r="AE2112" s="12"/>
      <c r="AF2112" s="12"/>
      <c r="AG2112" s="12"/>
      <c r="AH2112" s="12"/>
      <c r="AI2112" s="12"/>
      <c r="AJ2112" s="12"/>
      <c r="AK2112" s="12"/>
      <c r="AL2112" s="12"/>
      <c r="AM2112" s="12"/>
      <c r="AN2112" s="12"/>
      <c r="AO2112" s="12"/>
      <c r="AP2112" s="12"/>
      <c r="AQ2112" s="12"/>
      <c r="AR2112" s="12"/>
      <c r="AS2112" s="12"/>
      <c r="AT2112" s="12"/>
      <c r="AU2112" s="12"/>
      <c r="AV2112" s="12"/>
    </row>
    <row r="2113">
      <c r="S2113" s="12"/>
      <c r="T2113" s="12"/>
      <c r="U2113" s="12"/>
      <c r="V2113" s="12"/>
      <c r="W2113" s="12"/>
      <c r="X2113" s="12"/>
      <c r="Y2113" s="12"/>
      <c r="Z2113" s="12"/>
      <c r="AA2113" s="12"/>
      <c r="AB2113" s="12"/>
      <c r="AC2113" s="12"/>
      <c r="AD2113" s="12"/>
      <c r="AE2113" s="12"/>
      <c r="AF2113" s="12"/>
      <c r="AG2113" s="12"/>
      <c r="AH2113" s="12"/>
      <c r="AI2113" s="12"/>
      <c r="AJ2113" s="12"/>
      <c r="AK2113" s="12"/>
      <c r="AL2113" s="12"/>
      <c r="AM2113" s="12"/>
      <c r="AN2113" s="12"/>
      <c r="AO2113" s="12"/>
      <c r="AP2113" s="12"/>
      <c r="AQ2113" s="12"/>
      <c r="AR2113" s="12"/>
      <c r="AS2113" s="12"/>
      <c r="AT2113" s="12"/>
      <c r="AU2113" s="12"/>
      <c r="AV2113" s="12"/>
    </row>
    <row r="2114">
      <c r="S2114" s="12"/>
      <c r="T2114" s="12"/>
      <c r="U2114" s="12"/>
      <c r="V2114" s="12"/>
      <c r="W2114" s="12"/>
      <c r="X2114" s="12"/>
      <c r="Y2114" s="12"/>
      <c r="Z2114" s="12"/>
      <c r="AA2114" s="12"/>
      <c r="AB2114" s="12"/>
      <c r="AC2114" s="12"/>
      <c r="AD2114" s="12"/>
      <c r="AE2114" s="12"/>
      <c r="AF2114" s="12"/>
      <c r="AG2114" s="12"/>
      <c r="AH2114" s="12"/>
      <c r="AI2114" s="12"/>
      <c r="AJ2114" s="12"/>
      <c r="AK2114" s="12"/>
      <c r="AL2114" s="12"/>
      <c r="AM2114" s="12"/>
      <c r="AN2114" s="12"/>
      <c r="AO2114" s="12"/>
      <c r="AP2114" s="12"/>
      <c r="AQ2114" s="12"/>
      <c r="AR2114" s="12"/>
      <c r="AS2114" s="12"/>
      <c r="AT2114" s="12"/>
      <c r="AU2114" s="12"/>
      <c r="AV2114" s="12"/>
    </row>
    <row r="2115">
      <c r="S2115" s="12"/>
      <c r="T2115" s="12"/>
      <c r="U2115" s="12"/>
      <c r="V2115" s="12"/>
      <c r="W2115" s="12"/>
      <c r="X2115" s="12"/>
      <c r="Y2115" s="12"/>
      <c r="Z2115" s="12"/>
      <c r="AA2115" s="12"/>
      <c r="AB2115" s="12"/>
      <c r="AC2115" s="12"/>
      <c r="AD2115" s="12"/>
      <c r="AE2115" s="12"/>
      <c r="AF2115" s="12"/>
      <c r="AG2115" s="12"/>
      <c r="AH2115" s="12"/>
      <c r="AI2115" s="12"/>
      <c r="AJ2115" s="12"/>
      <c r="AK2115" s="12"/>
      <c r="AL2115" s="12"/>
      <c r="AM2115" s="12"/>
      <c r="AN2115" s="12"/>
      <c r="AO2115" s="12"/>
      <c r="AP2115" s="12"/>
      <c r="AQ2115" s="12"/>
      <c r="AR2115" s="12"/>
      <c r="AS2115" s="12"/>
      <c r="AT2115" s="12"/>
      <c r="AU2115" s="12"/>
      <c r="AV2115" s="12"/>
    </row>
    <row r="2116">
      <c r="S2116" s="12"/>
      <c r="T2116" s="12"/>
      <c r="U2116" s="12"/>
      <c r="V2116" s="12"/>
      <c r="W2116" s="12"/>
      <c r="X2116" s="12"/>
      <c r="Y2116" s="12"/>
      <c r="Z2116" s="12"/>
      <c r="AA2116" s="12"/>
      <c r="AB2116" s="12"/>
      <c r="AC2116" s="12"/>
      <c r="AD2116" s="12"/>
      <c r="AE2116" s="12"/>
      <c r="AF2116" s="12"/>
      <c r="AG2116" s="12"/>
      <c r="AH2116" s="12"/>
      <c r="AI2116" s="12"/>
      <c r="AJ2116" s="12"/>
      <c r="AK2116" s="12"/>
      <c r="AL2116" s="12"/>
      <c r="AM2116" s="12"/>
      <c r="AN2116" s="12"/>
      <c r="AO2116" s="12"/>
      <c r="AP2116" s="12"/>
      <c r="AQ2116" s="12"/>
      <c r="AR2116" s="12"/>
      <c r="AS2116" s="12"/>
      <c r="AT2116" s="12"/>
      <c r="AU2116" s="12"/>
      <c r="AV2116" s="12"/>
    </row>
    <row r="2117">
      <c r="S2117" s="12"/>
      <c r="T2117" s="12"/>
      <c r="U2117" s="12"/>
      <c r="V2117" s="12"/>
      <c r="W2117" s="12"/>
      <c r="X2117" s="12"/>
      <c r="Y2117" s="12"/>
      <c r="Z2117" s="12"/>
      <c r="AA2117" s="12"/>
      <c r="AB2117" s="12"/>
      <c r="AC2117" s="12"/>
      <c r="AD2117" s="12"/>
      <c r="AE2117" s="12"/>
      <c r="AF2117" s="12"/>
      <c r="AG2117" s="12"/>
      <c r="AH2117" s="12"/>
      <c r="AI2117" s="12"/>
      <c r="AJ2117" s="12"/>
      <c r="AK2117" s="12"/>
      <c r="AL2117" s="12"/>
      <c r="AM2117" s="12"/>
      <c r="AN2117" s="12"/>
      <c r="AO2117" s="12"/>
      <c r="AP2117" s="12"/>
      <c r="AQ2117" s="12"/>
      <c r="AR2117" s="12"/>
      <c r="AS2117" s="12"/>
      <c r="AT2117" s="12"/>
      <c r="AU2117" s="12"/>
      <c r="AV2117" s="12"/>
    </row>
    <row r="2118">
      <c r="S2118" s="12"/>
      <c r="T2118" s="12"/>
      <c r="U2118" s="12"/>
      <c r="V2118" s="12"/>
      <c r="W2118" s="12"/>
      <c r="X2118" s="12"/>
      <c r="Y2118" s="12"/>
      <c r="Z2118" s="12"/>
      <c r="AA2118" s="12"/>
      <c r="AB2118" s="12"/>
      <c r="AC2118" s="12"/>
      <c r="AD2118" s="12"/>
      <c r="AE2118" s="12"/>
      <c r="AF2118" s="12"/>
      <c r="AG2118" s="12"/>
      <c r="AH2118" s="12"/>
      <c r="AI2118" s="12"/>
      <c r="AJ2118" s="12"/>
      <c r="AK2118" s="12"/>
      <c r="AL2118" s="12"/>
      <c r="AM2118" s="12"/>
      <c r="AN2118" s="12"/>
      <c r="AO2118" s="12"/>
      <c r="AP2118" s="12"/>
      <c r="AQ2118" s="12"/>
      <c r="AR2118" s="12"/>
      <c r="AS2118" s="12"/>
      <c r="AT2118" s="12"/>
      <c r="AU2118" s="12"/>
      <c r="AV2118" s="12"/>
    </row>
    <row r="2119">
      <c r="S2119" s="12"/>
      <c r="T2119" s="12"/>
      <c r="U2119" s="12"/>
      <c r="V2119" s="12"/>
      <c r="W2119" s="12"/>
      <c r="X2119" s="12"/>
      <c r="Y2119" s="12"/>
      <c r="Z2119" s="12"/>
      <c r="AA2119" s="12"/>
      <c r="AB2119" s="12"/>
      <c r="AC2119" s="12"/>
      <c r="AD2119" s="12"/>
      <c r="AE2119" s="12"/>
      <c r="AF2119" s="12"/>
      <c r="AG2119" s="12"/>
      <c r="AH2119" s="12"/>
      <c r="AI2119" s="12"/>
      <c r="AJ2119" s="12"/>
      <c r="AK2119" s="12"/>
      <c r="AL2119" s="12"/>
      <c r="AM2119" s="12"/>
      <c r="AN2119" s="12"/>
      <c r="AO2119" s="12"/>
      <c r="AP2119" s="12"/>
      <c r="AQ2119" s="12"/>
      <c r="AR2119" s="12"/>
      <c r="AS2119" s="12"/>
      <c r="AT2119" s="12"/>
      <c r="AU2119" s="12"/>
      <c r="AV2119" s="12"/>
    </row>
    <row r="2120">
      <c r="S2120" s="12"/>
      <c r="T2120" s="12"/>
      <c r="U2120" s="12"/>
      <c r="V2120" s="12"/>
      <c r="W2120" s="12"/>
      <c r="X2120" s="12"/>
      <c r="Y2120" s="12"/>
      <c r="Z2120" s="12"/>
      <c r="AA2120" s="12"/>
      <c r="AB2120" s="12"/>
      <c r="AC2120" s="12"/>
      <c r="AD2120" s="12"/>
      <c r="AE2120" s="12"/>
      <c r="AF2120" s="12"/>
      <c r="AG2120" s="12"/>
      <c r="AH2120" s="12"/>
      <c r="AI2120" s="12"/>
      <c r="AJ2120" s="12"/>
      <c r="AK2120" s="12"/>
      <c r="AL2120" s="12"/>
      <c r="AM2120" s="12"/>
      <c r="AN2120" s="12"/>
      <c r="AO2120" s="12"/>
      <c r="AP2120" s="12"/>
      <c r="AQ2120" s="12"/>
      <c r="AR2120" s="12"/>
      <c r="AS2120" s="12"/>
      <c r="AT2120" s="12"/>
      <c r="AU2120" s="12"/>
      <c r="AV2120" s="12"/>
    </row>
    <row r="2121">
      <c r="S2121" s="12"/>
      <c r="T2121" s="12"/>
      <c r="U2121" s="12"/>
      <c r="V2121" s="12"/>
      <c r="W2121" s="12"/>
      <c r="X2121" s="12"/>
      <c r="Y2121" s="12"/>
      <c r="Z2121" s="12"/>
      <c r="AA2121" s="12"/>
      <c r="AB2121" s="12"/>
      <c r="AC2121" s="12"/>
      <c r="AD2121" s="12"/>
      <c r="AE2121" s="12"/>
      <c r="AF2121" s="12"/>
      <c r="AG2121" s="12"/>
      <c r="AH2121" s="12"/>
      <c r="AI2121" s="12"/>
      <c r="AJ2121" s="12"/>
      <c r="AK2121" s="12"/>
      <c r="AL2121" s="12"/>
      <c r="AM2121" s="12"/>
      <c r="AN2121" s="12"/>
      <c r="AO2121" s="12"/>
      <c r="AP2121" s="12"/>
      <c r="AQ2121" s="12"/>
      <c r="AR2121" s="12"/>
      <c r="AS2121" s="12"/>
      <c r="AT2121" s="12"/>
      <c r="AU2121" s="12"/>
      <c r="AV2121" s="12"/>
    </row>
    <row r="2122">
      <c r="S2122" s="12"/>
      <c r="T2122" s="12"/>
      <c r="U2122" s="12"/>
      <c r="V2122" s="12"/>
      <c r="W2122" s="12"/>
      <c r="X2122" s="12"/>
      <c r="Y2122" s="12"/>
      <c r="Z2122" s="12"/>
      <c r="AA2122" s="12"/>
      <c r="AB2122" s="12"/>
      <c r="AC2122" s="12"/>
      <c r="AD2122" s="12"/>
      <c r="AE2122" s="12"/>
      <c r="AF2122" s="12"/>
      <c r="AG2122" s="12"/>
      <c r="AH2122" s="12"/>
      <c r="AI2122" s="12"/>
      <c r="AJ2122" s="12"/>
      <c r="AK2122" s="12"/>
      <c r="AL2122" s="12"/>
      <c r="AM2122" s="12"/>
      <c r="AN2122" s="12"/>
      <c r="AO2122" s="12"/>
      <c r="AP2122" s="12"/>
      <c r="AQ2122" s="12"/>
      <c r="AR2122" s="12"/>
      <c r="AS2122" s="12"/>
      <c r="AT2122" s="12"/>
      <c r="AU2122" s="12"/>
      <c r="AV2122" s="12"/>
    </row>
    <row r="2123">
      <c r="S2123" s="12"/>
      <c r="T2123" s="12"/>
      <c r="U2123" s="12"/>
      <c r="V2123" s="12"/>
      <c r="W2123" s="12"/>
      <c r="X2123" s="12"/>
      <c r="Y2123" s="12"/>
      <c r="Z2123" s="12"/>
      <c r="AA2123" s="12"/>
      <c r="AB2123" s="12"/>
      <c r="AC2123" s="12"/>
      <c r="AD2123" s="12"/>
      <c r="AE2123" s="12"/>
      <c r="AF2123" s="12"/>
      <c r="AG2123" s="12"/>
      <c r="AH2123" s="12"/>
      <c r="AI2123" s="12"/>
      <c r="AJ2123" s="12"/>
      <c r="AK2123" s="12"/>
      <c r="AL2123" s="12"/>
      <c r="AM2123" s="12"/>
      <c r="AN2123" s="12"/>
      <c r="AO2123" s="12"/>
      <c r="AP2123" s="12"/>
      <c r="AQ2123" s="12"/>
      <c r="AR2123" s="12"/>
      <c r="AS2123" s="12"/>
      <c r="AT2123" s="12"/>
      <c r="AU2123" s="12"/>
      <c r="AV2123" s="12"/>
    </row>
    <row r="2124">
      <c r="S2124" s="12"/>
      <c r="T2124" s="12"/>
      <c r="U2124" s="12"/>
      <c r="V2124" s="12"/>
      <c r="W2124" s="12"/>
      <c r="X2124" s="12"/>
      <c r="Y2124" s="12"/>
      <c r="Z2124" s="12"/>
      <c r="AA2124" s="12"/>
      <c r="AB2124" s="12"/>
      <c r="AC2124" s="12"/>
      <c r="AD2124" s="12"/>
      <c r="AE2124" s="12"/>
      <c r="AF2124" s="12"/>
      <c r="AG2124" s="12"/>
      <c r="AH2124" s="12"/>
      <c r="AI2124" s="12"/>
      <c r="AJ2124" s="12"/>
      <c r="AK2124" s="12"/>
      <c r="AL2124" s="12"/>
      <c r="AM2124" s="12"/>
      <c r="AN2124" s="12"/>
      <c r="AO2124" s="12"/>
      <c r="AP2124" s="12"/>
      <c r="AQ2124" s="12"/>
      <c r="AR2124" s="12"/>
      <c r="AS2124" s="12"/>
      <c r="AT2124" s="12"/>
      <c r="AU2124" s="12"/>
      <c r="AV2124" s="12"/>
    </row>
    <row r="2125">
      <c r="S2125" s="12"/>
      <c r="T2125" s="12"/>
      <c r="U2125" s="12"/>
      <c r="V2125" s="12"/>
      <c r="W2125" s="12"/>
      <c r="X2125" s="12"/>
      <c r="Y2125" s="12"/>
      <c r="Z2125" s="12"/>
      <c r="AA2125" s="12"/>
      <c r="AB2125" s="12"/>
      <c r="AC2125" s="12"/>
      <c r="AD2125" s="12"/>
      <c r="AE2125" s="12"/>
      <c r="AF2125" s="12"/>
      <c r="AG2125" s="12"/>
      <c r="AH2125" s="12"/>
      <c r="AI2125" s="12"/>
      <c r="AJ2125" s="12"/>
      <c r="AK2125" s="12"/>
      <c r="AL2125" s="12"/>
      <c r="AM2125" s="12"/>
      <c r="AN2125" s="12"/>
      <c r="AO2125" s="12"/>
      <c r="AP2125" s="12"/>
      <c r="AQ2125" s="12"/>
      <c r="AR2125" s="12"/>
      <c r="AS2125" s="12"/>
      <c r="AT2125" s="12"/>
      <c r="AU2125" s="12"/>
      <c r="AV2125" s="12"/>
    </row>
    <row r="2126">
      <c r="S2126" s="12"/>
      <c r="T2126" s="12"/>
      <c r="U2126" s="12"/>
      <c r="V2126" s="12"/>
      <c r="W2126" s="12"/>
      <c r="X2126" s="12"/>
      <c r="Y2126" s="12"/>
      <c r="Z2126" s="12"/>
      <c r="AA2126" s="12"/>
      <c r="AB2126" s="12"/>
      <c r="AC2126" s="12"/>
      <c r="AD2126" s="12"/>
      <c r="AE2126" s="12"/>
      <c r="AF2126" s="12"/>
      <c r="AG2126" s="12"/>
      <c r="AH2126" s="12"/>
      <c r="AI2126" s="12"/>
      <c r="AJ2126" s="12"/>
      <c r="AK2126" s="12"/>
      <c r="AL2126" s="12"/>
      <c r="AM2126" s="12"/>
      <c r="AN2126" s="12"/>
      <c r="AO2126" s="12"/>
      <c r="AP2126" s="12"/>
      <c r="AQ2126" s="12"/>
      <c r="AR2126" s="12"/>
      <c r="AS2126" s="12"/>
      <c r="AT2126" s="12"/>
      <c r="AU2126" s="12"/>
      <c r="AV2126" s="12"/>
    </row>
    <row r="2127">
      <c r="S2127" s="12"/>
      <c r="T2127" s="12"/>
      <c r="U2127" s="12"/>
      <c r="V2127" s="12"/>
      <c r="W2127" s="12"/>
      <c r="X2127" s="12"/>
      <c r="Y2127" s="12"/>
      <c r="Z2127" s="12"/>
      <c r="AA2127" s="12"/>
      <c r="AB2127" s="12"/>
      <c r="AC2127" s="12"/>
      <c r="AD2127" s="12"/>
      <c r="AE2127" s="12"/>
      <c r="AF2127" s="12"/>
      <c r="AG2127" s="12"/>
      <c r="AH2127" s="12"/>
      <c r="AI2127" s="12"/>
      <c r="AJ2127" s="12"/>
      <c r="AK2127" s="12"/>
      <c r="AL2127" s="12"/>
      <c r="AM2127" s="12"/>
      <c r="AN2127" s="12"/>
      <c r="AO2127" s="12"/>
      <c r="AP2127" s="12"/>
      <c r="AQ2127" s="12"/>
      <c r="AR2127" s="12"/>
      <c r="AS2127" s="12"/>
      <c r="AT2127" s="12"/>
      <c r="AU2127" s="12"/>
      <c r="AV2127" s="12"/>
    </row>
    <row r="2128">
      <c r="S2128" s="12"/>
      <c r="T2128" s="12"/>
      <c r="U2128" s="12"/>
      <c r="V2128" s="12"/>
      <c r="W2128" s="12"/>
      <c r="X2128" s="12"/>
      <c r="Y2128" s="12"/>
      <c r="Z2128" s="12"/>
      <c r="AA2128" s="12"/>
      <c r="AB2128" s="12"/>
      <c r="AC2128" s="12"/>
      <c r="AD2128" s="12"/>
      <c r="AE2128" s="12"/>
      <c r="AF2128" s="12"/>
      <c r="AG2128" s="12"/>
      <c r="AH2128" s="12"/>
      <c r="AI2128" s="12"/>
      <c r="AJ2128" s="12"/>
      <c r="AK2128" s="12"/>
      <c r="AL2128" s="12"/>
      <c r="AM2128" s="12"/>
      <c r="AN2128" s="12"/>
      <c r="AO2128" s="12"/>
      <c r="AP2128" s="12"/>
      <c r="AQ2128" s="12"/>
      <c r="AR2128" s="12"/>
      <c r="AS2128" s="12"/>
      <c r="AT2128" s="12"/>
      <c r="AU2128" s="12"/>
      <c r="AV2128" s="12"/>
    </row>
    <row r="2129">
      <c r="S2129" s="12"/>
      <c r="T2129" s="12"/>
      <c r="U2129" s="12"/>
      <c r="V2129" s="12"/>
      <c r="W2129" s="12"/>
      <c r="X2129" s="12"/>
      <c r="Y2129" s="12"/>
      <c r="Z2129" s="12"/>
      <c r="AA2129" s="12"/>
      <c r="AB2129" s="12"/>
      <c r="AC2129" s="12"/>
      <c r="AD2129" s="12"/>
      <c r="AE2129" s="12"/>
      <c r="AF2129" s="12"/>
      <c r="AG2129" s="12"/>
      <c r="AH2129" s="12"/>
      <c r="AI2129" s="12"/>
      <c r="AJ2129" s="12"/>
      <c r="AK2129" s="12"/>
      <c r="AL2129" s="12"/>
      <c r="AM2129" s="12"/>
      <c r="AN2129" s="12"/>
      <c r="AO2129" s="12"/>
      <c r="AP2129" s="12"/>
      <c r="AQ2129" s="12"/>
      <c r="AR2129" s="12"/>
      <c r="AS2129" s="12"/>
      <c r="AT2129" s="12"/>
      <c r="AU2129" s="12"/>
      <c r="AV2129" s="12"/>
    </row>
    <row r="2130">
      <c r="S2130" s="12"/>
      <c r="T2130" s="12"/>
      <c r="U2130" s="12"/>
      <c r="V2130" s="12"/>
      <c r="W2130" s="12"/>
      <c r="X2130" s="12"/>
      <c r="Y2130" s="12"/>
      <c r="Z2130" s="12"/>
      <c r="AA2130" s="12"/>
      <c r="AB2130" s="12"/>
      <c r="AC2130" s="12"/>
      <c r="AD2130" s="12"/>
      <c r="AE2130" s="12"/>
      <c r="AF2130" s="12"/>
      <c r="AG2130" s="12"/>
      <c r="AH2130" s="12"/>
      <c r="AI2130" s="12"/>
      <c r="AJ2130" s="12"/>
      <c r="AK2130" s="12"/>
      <c r="AL2130" s="12"/>
      <c r="AM2130" s="12"/>
      <c r="AN2130" s="12"/>
      <c r="AO2130" s="12"/>
      <c r="AP2130" s="12"/>
      <c r="AQ2130" s="12"/>
      <c r="AR2130" s="12"/>
      <c r="AS2130" s="12"/>
      <c r="AT2130" s="12"/>
      <c r="AU2130" s="12"/>
      <c r="AV2130" s="12"/>
    </row>
    <row r="2131">
      <c r="S2131" s="12"/>
      <c r="T2131" s="12"/>
      <c r="U2131" s="12"/>
      <c r="V2131" s="12"/>
      <c r="W2131" s="12"/>
      <c r="X2131" s="12"/>
      <c r="Y2131" s="12"/>
      <c r="Z2131" s="12"/>
      <c r="AA2131" s="12"/>
      <c r="AB2131" s="12"/>
      <c r="AC2131" s="12"/>
      <c r="AD2131" s="12"/>
      <c r="AE2131" s="12"/>
      <c r="AF2131" s="12"/>
      <c r="AG2131" s="12"/>
      <c r="AH2131" s="12"/>
      <c r="AI2131" s="12"/>
      <c r="AJ2131" s="12"/>
      <c r="AK2131" s="12"/>
      <c r="AL2131" s="12"/>
      <c r="AM2131" s="12"/>
      <c r="AN2131" s="12"/>
      <c r="AO2131" s="12"/>
      <c r="AP2131" s="12"/>
      <c r="AQ2131" s="12"/>
      <c r="AR2131" s="12"/>
      <c r="AS2131" s="12"/>
      <c r="AT2131" s="12"/>
      <c r="AU2131" s="12"/>
      <c r="AV2131" s="12"/>
    </row>
    <row r="2132">
      <c r="S2132" s="12"/>
      <c r="T2132" s="12"/>
      <c r="U2132" s="12"/>
      <c r="V2132" s="12"/>
      <c r="W2132" s="12"/>
      <c r="X2132" s="12"/>
      <c r="Y2132" s="12"/>
      <c r="Z2132" s="12"/>
      <c r="AA2132" s="12"/>
      <c r="AB2132" s="12"/>
      <c r="AC2132" s="12"/>
      <c r="AD2132" s="12"/>
      <c r="AE2132" s="12"/>
      <c r="AF2132" s="12"/>
      <c r="AG2132" s="12"/>
      <c r="AH2132" s="12"/>
      <c r="AI2132" s="12"/>
      <c r="AJ2132" s="12"/>
      <c r="AK2132" s="12"/>
      <c r="AL2132" s="12"/>
      <c r="AM2132" s="12"/>
      <c r="AN2132" s="12"/>
      <c r="AO2132" s="12"/>
      <c r="AP2132" s="12"/>
      <c r="AQ2132" s="12"/>
      <c r="AR2132" s="12"/>
      <c r="AS2132" s="12"/>
      <c r="AT2132" s="12"/>
      <c r="AU2132" s="12"/>
      <c r="AV2132" s="12"/>
    </row>
    <row r="2133">
      <c r="S2133" s="12"/>
      <c r="T2133" s="12"/>
      <c r="U2133" s="12"/>
      <c r="V2133" s="12"/>
      <c r="W2133" s="12"/>
      <c r="X2133" s="12"/>
      <c r="Y2133" s="12"/>
      <c r="Z2133" s="12"/>
      <c r="AA2133" s="12"/>
      <c r="AB2133" s="12"/>
      <c r="AC2133" s="12"/>
      <c r="AD2133" s="12"/>
      <c r="AE2133" s="12"/>
      <c r="AF2133" s="12"/>
      <c r="AG2133" s="12"/>
      <c r="AH2133" s="12"/>
      <c r="AI2133" s="12"/>
      <c r="AJ2133" s="12"/>
      <c r="AK2133" s="12"/>
      <c r="AL2133" s="12"/>
      <c r="AM2133" s="12"/>
      <c r="AN2133" s="12"/>
      <c r="AO2133" s="12"/>
      <c r="AP2133" s="12"/>
      <c r="AQ2133" s="12"/>
      <c r="AR2133" s="12"/>
      <c r="AS2133" s="12"/>
      <c r="AT2133" s="12"/>
      <c r="AU2133" s="12"/>
      <c r="AV2133" s="12"/>
    </row>
    <row r="2134">
      <c r="S2134" s="12"/>
      <c r="T2134" s="12"/>
      <c r="U2134" s="12"/>
      <c r="V2134" s="12"/>
      <c r="W2134" s="12"/>
      <c r="X2134" s="12"/>
      <c r="Y2134" s="12"/>
      <c r="Z2134" s="12"/>
      <c r="AA2134" s="12"/>
      <c r="AB2134" s="12"/>
      <c r="AC2134" s="12"/>
      <c r="AD2134" s="12"/>
      <c r="AE2134" s="12"/>
      <c r="AF2134" s="12"/>
      <c r="AG2134" s="12"/>
      <c r="AH2134" s="12"/>
      <c r="AI2134" s="12"/>
      <c r="AJ2134" s="12"/>
      <c r="AK2134" s="12"/>
      <c r="AL2134" s="12"/>
      <c r="AM2134" s="12"/>
      <c r="AN2134" s="12"/>
      <c r="AO2134" s="12"/>
      <c r="AP2134" s="12"/>
      <c r="AQ2134" s="12"/>
      <c r="AR2134" s="12"/>
      <c r="AS2134" s="12"/>
      <c r="AT2134" s="12"/>
      <c r="AU2134" s="12"/>
      <c r="AV2134" s="12"/>
    </row>
    <row r="2135">
      <c r="S2135" s="12"/>
      <c r="T2135" s="12"/>
      <c r="U2135" s="12"/>
      <c r="V2135" s="12"/>
      <c r="W2135" s="12"/>
      <c r="X2135" s="12"/>
      <c r="Y2135" s="12"/>
      <c r="Z2135" s="12"/>
      <c r="AA2135" s="12"/>
      <c r="AB2135" s="12"/>
      <c r="AC2135" s="12"/>
      <c r="AD2135" s="12"/>
      <c r="AE2135" s="12"/>
      <c r="AF2135" s="12"/>
      <c r="AG2135" s="12"/>
      <c r="AH2135" s="12"/>
      <c r="AI2135" s="12"/>
      <c r="AJ2135" s="12"/>
      <c r="AK2135" s="12"/>
      <c r="AL2135" s="12"/>
      <c r="AM2135" s="12"/>
      <c r="AN2135" s="12"/>
      <c r="AO2135" s="12"/>
      <c r="AP2135" s="12"/>
      <c r="AQ2135" s="12"/>
      <c r="AR2135" s="12"/>
      <c r="AS2135" s="12"/>
      <c r="AT2135" s="12"/>
      <c r="AU2135" s="12"/>
      <c r="AV2135" s="12"/>
    </row>
    <row r="2136">
      <c r="S2136" s="12"/>
      <c r="T2136" s="12"/>
      <c r="U2136" s="12"/>
      <c r="V2136" s="12"/>
      <c r="W2136" s="12"/>
      <c r="X2136" s="12"/>
      <c r="Y2136" s="12"/>
      <c r="Z2136" s="12"/>
      <c r="AA2136" s="12"/>
      <c r="AB2136" s="12"/>
      <c r="AC2136" s="12"/>
      <c r="AD2136" s="12"/>
      <c r="AE2136" s="12"/>
      <c r="AF2136" s="12"/>
      <c r="AG2136" s="12"/>
      <c r="AH2136" s="12"/>
      <c r="AI2136" s="12"/>
      <c r="AJ2136" s="12"/>
      <c r="AK2136" s="12"/>
      <c r="AL2136" s="12"/>
      <c r="AM2136" s="12"/>
      <c r="AN2136" s="12"/>
      <c r="AO2136" s="12"/>
      <c r="AP2136" s="12"/>
      <c r="AQ2136" s="12"/>
      <c r="AR2136" s="12"/>
      <c r="AS2136" s="12"/>
      <c r="AT2136" s="12"/>
      <c r="AU2136" s="12"/>
      <c r="AV2136" s="12"/>
    </row>
    <row r="2137">
      <c r="S2137" s="12"/>
      <c r="T2137" s="12"/>
      <c r="U2137" s="12"/>
      <c r="V2137" s="12"/>
      <c r="W2137" s="12"/>
      <c r="X2137" s="12"/>
      <c r="Y2137" s="12"/>
      <c r="Z2137" s="12"/>
      <c r="AA2137" s="12"/>
      <c r="AB2137" s="12"/>
      <c r="AC2137" s="12"/>
      <c r="AD2137" s="12"/>
      <c r="AE2137" s="12"/>
      <c r="AF2137" s="12"/>
      <c r="AG2137" s="12"/>
      <c r="AH2137" s="12"/>
      <c r="AI2137" s="12"/>
      <c r="AJ2137" s="12"/>
      <c r="AK2137" s="12"/>
      <c r="AL2137" s="12"/>
      <c r="AM2137" s="12"/>
      <c r="AN2137" s="12"/>
      <c r="AO2137" s="12"/>
      <c r="AP2137" s="12"/>
      <c r="AQ2137" s="12"/>
      <c r="AR2137" s="12"/>
      <c r="AS2137" s="12"/>
      <c r="AT2137" s="12"/>
      <c r="AU2137" s="12"/>
      <c r="AV2137" s="12"/>
    </row>
    <row r="2138">
      <c r="S2138" s="12"/>
      <c r="T2138" s="12"/>
      <c r="U2138" s="12"/>
      <c r="V2138" s="12"/>
      <c r="W2138" s="12"/>
      <c r="X2138" s="12"/>
      <c r="Y2138" s="12"/>
      <c r="Z2138" s="12"/>
      <c r="AA2138" s="12"/>
      <c r="AB2138" s="12"/>
      <c r="AC2138" s="12"/>
      <c r="AD2138" s="12"/>
      <c r="AE2138" s="12"/>
      <c r="AF2138" s="12"/>
      <c r="AG2138" s="12"/>
      <c r="AH2138" s="12"/>
      <c r="AI2138" s="12"/>
      <c r="AJ2138" s="12"/>
      <c r="AK2138" s="12"/>
      <c r="AL2138" s="12"/>
      <c r="AM2138" s="12"/>
      <c r="AN2138" s="12"/>
      <c r="AO2138" s="12"/>
      <c r="AP2138" s="12"/>
      <c r="AQ2138" s="12"/>
      <c r="AR2138" s="12"/>
      <c r="AS2138" s="12"/>
      <c r="AT2138" s="12"/>
      <c r="AU2138" s="12"/>
      <c r="AV2138" s="12"/>
    </row>
    <row r="2139">
      <c r="S2139" s="12"/>
      <c r="T2139" s="12"/>
      <c r="U2139" s="12"/>
      <c r="V2139" s="12"/>
      <c r="W2139" s="12"/>
      <c r="X2139" s="12"/>
      <c r="Y2139" s="12"/>
      <c r="Z2139" s="12"/>
      <c r="AA2139" s="12"/>
      <c r="AB2139" s="12"/>
      <c r="AC2139" s="12"/>
      <c r="AD2139" s="12"/>
      <c r="AE2139" s="12"/>
      <c r="AF2139" s="12"/>
      <c r="AG2139" s="12"/>
      <c r="AH2139" s="12"/>
      <c r="AI2139" s="12"/>
      <c r="AJ2139" s="12"/>
      <c r="AK2139" s="12"/>
      <c r="AL2139" s="12"/>
      <c r="AM2139" s="12"/>
      <c r="AN2139" s="12"/>
      <c r="AO2139" s="12"/>
      <c r="AP2139" s="12"/>
      <c r="AQ2139" s="12"/>
      <c r="AR2139" s="12"/>
      <c r="AS2139" s="12"/>
      <c r="AT2139" s="12"/>
      <c r="AU2139" s="12"/>
      <c r="AV2139" s="12"/>
    </row>
    <row r="2140">
      <c r="S2140" s="12"/>
      <c r="T2140" s="12"/>
      <c r="U2140" s="12"/>
      <c r="V2140" s="12"/>
      <c r="W2140" s="12"/>
      <c r="X2140" s="12"/>
      <c r="Y2140" s="12"/>
      <c r="Z2140" s="12"/>
      <c r="AA2140" s="12"/>
      <c r="AB2140" s="12"/>
      <c r="AC2140" s="12"/>
      <c r="AD2140" s="12"/>
      <c r="AE2140" s="12"/>
      <c r="AF2140" s="12"/>
      <c r="AG2140" s="12"/>
      <c r="AH2140" s="12"/>
      <c r="AI2140" s="12"/>
      <c r="AJ2140" s="12"/>
      <c r="AK2140" s="12"/>
      <c r="AL2140" s="12"/>
      <c r="AM2140" s="12"/>
      <c r="AN2140" s="12"/>
      <c r="AO2140" s="12"/>
      <c r="AP2140" s="12"/>
      <c r="AQ2140" s="12"/>
      <c r="AR2140" s="12"/>
      <c r="AS2140" s="12"/>
      <c r="AT2140" s="12"/>
      <c r="AU2140" s="12"/>
      <c r="AV2140" s="12"/>
    </row>
    <row r="2141">
      <c r="S2141" s="12"/>
      <c r="T2141" s="12"/>
      <c r="U2141" s="12"/>
      <c r="V2141" s="12"/>
      <c r="W2141" s="12"/>
      <c r="X2141" s="12"/>
      <c r="Y2141" s="12"/>
      <c r="Z2141" s="12"/>
      <c r="AA2141" s="12"/>
      <c r="AB2141" s="12"/>
      <c r="AC2141" s="12"/>
      <c r="AD2141" s="12"/>
      <c r="AE2141" s="12"/>
      <c r="AF2141" s="12"/>
      <c r="AG2141" s="12"/>
      <c r="AH2141" s="12"/>
      <c r="AI2141" s="12"/>
      <c r="AJ2141" s="12"/>
      <c r="AK2141" s="12"/>
      <c r="AL2141" s="12"/>
      <c r="AM2141" s="12"/>
      <c r="AN2141" s="12"/>
      <c r="AO2141" s="12"/>
      <c r="AP2141" s="12"/>
      <c r="AQ2141" s="12"/>
      <c r="AR2141" s="12"/>
      <c r="AS2141" s="12"/>
      <c r="AT2141" s="12"/>
      <c r="AU2141" s="12"/>
      <c r="AV2141" s="12"/>
    </row>
    <row r="2142">
      <c r="S2142" s="12"/>
      <c r="T2142" s="12"/>
      <c r="U2142" s="12"/>
      <c r="V2142" s="12"/>
      <c r="W2142" s="12"/>
      <c r="X2142" s="12"/>
      <c r="Y2142" s="12"/>
      <c r="Z2142" s="12"/>
      <c r="AA2142" s="12"/>
      <c r="AB2142" s="12"/>
      <c r="AC2142" s="12"/>
      <c r="AD2142" s="12"/>
      <c r="AE2142" s="12"/>
      <c r="AF2142" s="12"/>
      <c r="AG2142" s="12"/>
      <c r="AH2142" s="12"/>
      <c r="AI2142" s="12"/>
      <c r="AJ2142" s="12"/>
      <c r="AK2142" s="12"/>
      <c r="AL2142" s="12"/>
      <c r="AM2142" s="12"/>
      <c r="AN2142" s="12"/>
      <c r="AO2142" s="12"/>
      <c r="AP2142" s="12"/>
      <c r="AQ2142" s="12"/>
      <c r="AR2142" s="12"/>
      <c r="AS2142" s="12"/>
      <c r="AT2142" s="12"/>
      <c r="AU2142" s="12"/>
      <c r="AV2142" s="12"/>
    </row>
    <row r="2143">
      <c r="S2143" s="12"/>
      <c r="T2143" s="12"/>
      <c r="U2143" s="12"/>
      <c r="V2143" s="12"/>
      <c r="W2143" s="12"/>
      <c r="X2143" s="12"/>
      <c r="Y2143" s="12"/>
      <c r="Z2143" s="12"/>
      <c r="AA2143" s="12"/>
      <c r="AB2143" s="12"/>
      <c r="AC2143" s="12"/>
      <c r="AD2143" s="12"/>
      <c r="AE2143" s="12"/>
      <c r="AF2143" s="12"/>
      <c r="AG2143" s="12"/>
      <c r="AH2143" s="12"/>
      <c r="AI2143" s="12"/>
      <c r="AJ2143" s="12"/>
      <c r="AK2143" s="12"/>
      <c r="AL2143" s="12"/>
      <c r="AM2143" s="12"/>
      <c r="AN2143" s="12"/>
      <c r="AO2143" s="12"/>
      <c r="AP2143" s="12"/>
      <c r="AQ2143" s="12"/>
      <c r="AR2143" s="12"/>
      <c r="AS2143" s="12"/>
      <c r="AT2143" s="12"/>
      <c r="AU2143" s="12"/>
      <c r="AV2143" s="12"/>
    </row>
    <row r="2144">
      <c r="S2144" s="12"/>
      <c r="T2144" s="12"/>
      <c r="U2144" s="12"/>
      <c r="V2144" s="12"/>
      <c r="W2144" s="12"/>
      <c r="X2144" s="12"/>
      <c r="Y2144" s="12"/>
      <c r="Z2144" s="12"/>
      <c r="AA2144" s="12"/>
      <c r="AB2144" s="12"/>
      <c r="AC2144" s="12"/>
      <c r="AD2144" s="12"/>
      <c r="AE2144" s="12"/>
      <c r="AF2144" s="12"/>
      <c r="AG2144" s="12"/>
      <c r="AH2144" s="12"/>
      <c r="AI2144" s="12"/>
      <c r="AJ2144" s="12"/>
      <c r="AK2144" s="12"/>
      <c r="AL2144" s="12"/>
      <c r="AM2144" s="12"/>
      <c r="AN2144" s="12"/>
      <c r="AO2144" s="12"/>
      <c r="AP2144" s="12"/>
      <c r="AQ2144" s="12"/>
      <c r="AR2144" s="12"/>
      <c r="AS2144" s="12"/>
      <c r="AT2144" s="12"/>
      <c r="AU2144" s="12"/>
      <c r="AV2144" s="12"/>
    </row>
    <row r="2145">
      <c r="S2145" s="12"/>
      <c r="T2145" s="12"/>
      <c r="U2145" s="12"/>
      <c r="V2145" s="12"/>
      <c r="W2145" s="12"/>
      <c r="X2145" s="12"/>
      <c r="Y2145" s="12"/>
      <c r="Z2145" s="12"/>
      <c r="AA2145" s="12"/>
      <c r="AB2145" s="12"/>
      <c r="AC2145" s="12"/>
      <c r="AD2145" s="12"/>
      <c r="AE2145" s="12"/>
      <c r="AF2145" s="12"/>
      <c r="AG2145" s="12"/>
      <c r="AH2145" s="12"/>
      <c r="AI2145" s="12"/>
      <c r="AJ2145" s="12"/>
      <c r="AK2145" s="12"/>
      <c r="AL2145" s="12"/>
      <c r="AM2145" s="12"/>
      <c r="AN2145" s="12"/>
      <c r="AO2145" s="12"/>
      <c r="AP2145" s="12"/>
      <c r="AQ2145" s="12"/>
      <c r="AR2145" s="12"/>
      <c r="AS2145" s="12"/>
      <c r="AT2145" s="12"/>
      <c r="AU2145" s="12"/>
      <c r="AV2145" s="12"/>
    </row>
    <row r="2146">
      <c r="S2146" s="12"/>
      <c r="T2146" s="12"/>
      <c r="U2146" s="12"/>
      <c r="V2146" s="12"/>
      <c r="W2146" s="12"/>
      <c r="X2146" s="12"/>
      <c r="Y2146" s="12"/>
      <c r="Z2146" s="12"/>
      <c r="AA2146" s="12"/>
      <c r="AB2146" s="12"/>
      <c r="AC2146" s="12"/>
      <c r="AD2146" s="12"/>
      <c r="AE2146" s="12"/>
      <c r="AF2146" s="12"/>
      <c r="AG2146" s="12"/>
      <c r="AH2146" s="12"/>
      <c r="AI2146" s="12"/>
      <c r="AJ2146" s="12"/>
      <c r="AK2146" s="12"/>
      <c r="AL2146" s="12"/>
      <c r="AM2146" s="12"/>
      <c r="AN2146" s="12"/>
      <c r="AO2146" s="12"/>
      <c r="AP2146" s="12"/>
      <c r="AQ2146" s="12"/>
      <c r="AR2146" s="12"/>
      <c r="AS2146" s="12"/>
      <c r="AT2146" s="12"/>
      <c r="AU2146" s="12"/>
      <c r="AV2146" s="12"/>
    </row>
    <row r="2147">
      <c r="S2147" s="12"/>
      <c r="T2147" s="12"/>
      <c r="U2147" s="12"/>
      <c r="V2147" s="12"/>
      <c r="W2147" s="12"/>
      <c r="X2147" s="12"/>
      <c r="Y2147" s="12"/>
      <c r="Z2147" s="12"/>
      <c r="AA2147" s="12"/>
      <c r="AB2147" s="12"/>
      <c r="AC2147" s="12"/>
      <c r="AD2147" s="12"/>
      <c r="AE2147" s="12"/>
      <c r="AF2147" s="12"/>
      <c r="AG2147" s="12"/>
      <c r="AH2147" s="12"/>
      <c r="AI2147" s="12"/>
      <c r="AJ2147" s="12"/>
      <c r="AK2147" s="12"/>
      <c r="AL2147" s="12"/>
      <c r="AM2147" s="12"/>
      <c r="AN2147" s="12"/>
      <c r="AO2147" s="12"/>
      <c r="AP2147" s="12"/>
      <c r="AQ2147" s="12"/>
      <c r="AR2147" s="12"/>
      <c r="AS2147" s="12"/>
      <c r="AT2147" s="12"/>
      <c r="AU2147" s="12"/>
      <c r="AV2147" s="12"/>
    </row>
    <row r="2148">
      <c r="S2148" s="12"/>
      <c r="T2148" s="12"/>
      <c r="U2148" s="12"/>
      <c r="V2148" s="12"/>
      <c r="W2148" s="12"/>
      <c r="X2148" s="12"/>
      <c r="Y2148" s="12"/>
      <c r="Z2148" s="12"/>
      <c r="AA2148" s="12"/>
      <c r="AB2148" s="12"/>
      <c r="AC2148" s="12"/>
      <c r="AD2148" s="12"/>
      <c r="AE2148" s="12"/>
      <c r="AF2148" s="12"/>
      <c r="AG2148" s="12"/>
      <c r="AH2148" s="12"/>
      <c r="AI2148" s="12"/>
      <c r="AJ2148" s="12"/>
      <c r="AK2148" s="12"/>
      <c r="AL2148" s="12"/>
      <c r="AM2148" s="12"/>
      <c r="AN2148" s="12"/>
      <c r="AO2148" s="12"/>
      <c r="AP2148" s="12"/>
      <c r="AQ2148" s="12"/>
      <c r="AR2148" s="12"/>
      <c r="AS2148" s="12"/>
      <c r="AT2148" s="12"/>
      <c r="AU2148" s="12"/>
      <c r="AV2148" s="12"/>
    </row>
    <row r="2149">
      <c r="S2149" s="12"/>
      <c r="T2149" s="12"/>
      <c r="U2149" s="12"/>
      <c r="V2149" s="12"/>
      <c r="W2149" s="12"/>
      <c r="X2149" s="12"/>
      <c r="Y2149" s="12"/>
      <c r="Z2149" s="12"/>
      <c r="AA2149" s="12"/>
      <c r="AB2149" s="12"/>
      <c r="AC2149" s="12"/>
      <c r="AD2149" s="12"/>
      <c r="AE2149" s="12"/>
      <c r="AF2149" s="12"/>
      <c r="AG2149" s="12"/>
      <c r="AH2149" s="12"/>
      <c r="AI2149" s="12"/>
      <c r="AJ2149" s="12"/>
      <c r="AK2149" s="12"/>
      <c r="AL2149" s="12"/>
      <c r="AM2149" s="12"/>
      <c r="AN2149" s="12"/>
      <c r="AO2149" s="12"/>
      <c r="AP2149" s="12"/>
      <c r="AQ2149" s="12"/>
      <c r="AR2149" s="12"/>
      <c r="AS2149" s="12"/>
      <c r="AT2149" s="12"/>
      <c r="AU2149" s="12"/>
      <c r="AV2149" s="12"/>
    </row>
    <row r="2150">
      <c r="S2150" s="12"/>
      <c r="T2150" s="12"/>
      <c r="U2150" s="12"/>
      <c r="V2150" s="12"/>
      <c r="W2150" s="12"/>
      <c r="X2150" s="12"/>
      <c r="Y2150" s="12"/>
      <c r="Z2150" s="12"/>
      <c r="AA2150" s="12"/>
      <c r="AB2150" s="12"/>
      <c r="AC2150" s="12"/>
      <c r="AD2150" s="12"/>
      <c r="AE2150" s="12"/>
      <c r="AF2150" s="12"/>
      <c r="AG2150" s="12"/>
      <c r="AH2150" s="12"/>
      <c r="AI2150" s="12"/>
      <c r="AJ2150" s="12"/>
      <c r="AK2150" s="12"/>
      <c r="AL2150" s="12"/>
      <c r="AM2150" s="12"/>
      <c r="AN2150" s="12"/>
      <c r="AO2150" s="12"/>
      <c r="AP2150" s="12"/>
      <c r="AQ2150" s="12"/>
      <c r="AR2150" s="12"/>
      <c r="AS2150" s="12"/>
      <c r="AT2150" s="12"/>
      <c r="AU2150" s="12"/>
      <c r="AV2150" s="12"/>
    </row>
    <row r="2151">
      <c r="S2151" s="12"/>
      <c r="T2151" s="12"/>
      <c r="U2151" s="12"/>
      <c r="V2151" s="12"/>
      <c r="W2151" s="12"/>
      <c r="X2151" s="12"/>
      <c r="Y2151" s="12"/>
      <c r="Z2151" s="12"/>
      <c r="AA2151" s="12"/>
      <c r="AB2151" s="12"/>
      <c r="AC2151" s="12"/>
      <c r="AD2151" s="12"/>
      <c r="AE2151" s="12"/>
      <c r="AF2151" s="12"/>
      <c r="AG2151" s="12"/>
      <c r="AH2151" s="12"/>
      <c r="AI2151" s="12"/>
      <c r="AJ2151" s="12"/>
      <c r="AK2151" s="12"/>
      <c r="AL2151" s="12"/>
      <c r="AM2151" s="12"/>
      <c r="AN2151" s="12"/>
      <c r="AO2151" s="12"/>
      <c r="AP2151" s="12"/>
      <c r="AQ2151" s="12"/>
      <c r="AR2151" s="12"/>
      <c r="AS2151" s="12"/>
      <c r="AT2151" s="12"/>
      <c r="AU2151" s="12"/>
      <c r="AV2151" s="12"/>
    </row>
    <row r="2152">
      <c r="S2152" s="12"/>
      <c r="T2152" s="12"/>
      <c r="U2152" s="12"/>
      <c r="V2152" s="12"/>
      <c r="W2152" s="12"/>
      <c r="X2152" s="12"/>
      <c r="Y2152" s="12"/>
      <c r="Z2152" s="12"/>
      <c r="AA2152" s="12"/>
      <c r="AB2152" s="12"/>
      <c r="AC2152" s="12"/>
      <c r="AD2152" s="12"/>
      <c r="AE2152" s="12"/>
      <c r="AF2152" s="12"/>
      <c r="AG2152" s="12"/>
      <c r="AH2152" s="12"/>
      <c r="AI2152" s="12"/>
      <c r="AJ2152" s="12"/>
      <c r="AK2152" s="12"/>
      <c r="AL2152" s="12"/>
      <c r="AM2152" s="12"/>
      <c r="AN2152" s="12"/>
      <c r="AO2152" s="12"/>
      <c r="AP2152" s="12"/>
      <c r="AQ2152" s="12"/>
      <c r="AR2152" s="12"/>
      <c r="AS2152" s="12"/>
      <c r="AT2152" s="12"/>
      <c r="AU2152" s="12"/>
      <c r="AV2152" s="12"/>
    </row>
    <row r="2153">
      <c r="S2153" s="12"/>
      <c r="T2153" s="12"/>
      <c r="U2153" s="12"/>
      <c r="V2153" s="12"/>
      <c r="W2153" s="12"/>
      <c r="X2153" s="12"/>
      <c r="Y2153" s="12"/>
      <c r="Z2153" s="12"/>
      <c r="AA2153" s="12"/>
      <c r="AB2153" s="12"/>
      <c r="AC2153" s="12"/>
      <c r="AD2153" s="12"/>
      <c r="AE2153" s="12"/>
      <c r="AF2153" s="12"/>
      <c r="AG2153" s="12"/>
      <c r="AH2153" s="12"/>
      <c r="AI2153" s="12"/>
      <c r="AJ2153" s="12"/>
      <c r="AK2153" s="12"/>
      <c r="AL2153" s="12"/>
      <c r="AM2153" s="12"/>
      <c r="AN2153" s="12"/>
      <c r="AO2153" s="12"/>
      <c r="AP2153" s="12"/>
      <c r="AQ2153" s="12"/>
      <c r="AR2153" s="12"/>
      <c r="AS2153" s="12"/>
      <c r="AT2153" s="12"/>
      <c r="AU2153" s="12"/>
      <c r="AV2153" s="12"/>
    </row>
    <row r="2154">
      <c r="S2154" s="12"/>
      <c r="T2154" s="12"/>
      <c r="U2154" s="12"/>
      <c r="V2154" s="12"/>
      <c r="W2154" s="12"/>
      <c r="X2154" s="12"/>
      <c r="Y2154" s="12"/>
      <c r="Z2154" s="12"/>
      <c r="AA2154" s="12"/>
      <c r="AB2154" s="12"/>
      <c r="AC2154" s="12"/>
      <c r="AD2154" s="12"/>
      <c r="AE2154" s="12"/>
      <c r="AF2154" s="12"/>
      <c r="AG2154" s="12"/>
      <c r="AH2154" s="12"/>
      <c r="AI2154" s="12"/>
      <c r="AJ2154" s="12"/>
      <c r="AK2154" s="12"/>
      <c r="AL2154" s="12"/>
      <c r="AM2154" s="12"/>
      <c r="AN2154" s="12"/>
      <c r="AO2154" s="12"/>
      <c r="AP2154" s="12"/>
      <c r="AQ2154" s="12"/>
      <c r="AR2154" s="12"/>
      <c r="AS2154" s="12"/>
      <c r="AT2154" s="12"/>
      <c r="AU2154" s="12"/>
      <c r="AV2154" s="12"/>
    </row>
    <row r="2155">
      <c r="S2155" s="12"/>
      <c r="T2155" s="12"/>
      <c r="U2155" s="12"/>
      <c r="V2155" s="12"/>
      <c r="W2155" s="12"/>
      <c r="X2155" s="12"/>
      <c r="Y2155" s="12"/>
      <c r="Z2155" s="12"/>
      <c r="AA2155" s="12"/>
      <c r="AB2155" s="12"/>
      <c r="AC2155" s="12"/>
      <c r="AD2155" s="12"/>
      <c r="AE2155" s="12"/>
      <c r="AF2155" s="12"/>
      <c r="AG2155" s="12"/>
      <c r="AH2155" s="12"/>
      <c r="AI2155" s="12"/>
      <c r="AJ2155" s="12"/>
      <c r="AK2155" s="12"/>
      <c r="AL2155" s="12"/>
      <c r="AM2155" s="12"/>
      <c r="AN2155" s="12"/>
      <c r="AO2155" s="12"/>
      <c r="AP2155" s="12"/>
      <c r="AQ2155" s="12"/>
      <c r="AR2155" s="12"/>
      <c r="AS2155" s="12"/>
      <c r="AT2155" s="12"/>
      <c r="AU2155" s="12"/>
      <c r="AV2155" s="12"/>
    </row>
    <row r="2156">
      <c r="S2156" s="12"/>
      <c r="T2156" s="12"/>
      <c r="U2156" s="12"/>
      <c r="V2156" s="12"/>
      <c r="W2156" s="12"/>
      <c r="X2156" s="12"/>
      <c r="Y2156" s="12"/>
      <c r="Z2156" s="12"/>
      <c r="AA2156" s="12"/>
      <c r="AB2156" s="12"/>
      <c r="AC2156" s="12"/>
      <c r="AD2156" s="12"/>
      <c r="AE2156" s="12"/>
      <c r="AF2156" s="12"/>
      <c r="AG2156" s="12"/>
      <c r="AH2156" s="12"/>
      <c r="AI2156" s="12"/>
      <c r="AJ2156" s="12"/>
      <c r="AK2156" s="12"/>
      <c r="AL2156" s="12"/>
      <c r="AM2156" s="12"/>
      <c r="AN2156" s="12"/>
      <c r="AO2156" s="12"/>
      <c r="AP2156" s="12"/>
      <c r="AQ2156" s="12"/>
      <c r="AR2156" s="12"/>
      <c r="AS2156" s="12"/>
      <c r="AT2156" s="12"/>
      <c r="AU2156" s="12"/>
      <c r="AV2156" s="12"/>
    </row>
    <row r="2157">
      <c r="S2157" s="12"/>
      <c r="T2157" s="12"/>
      <c r="U2157" s="12"/>
      <c r="V2157" s="12"/>
      <c r="W2157" s="12"/>
      <c r="X2157" s="12"/>
      <c r="Y2157" s="12"/>
      <c r="Z2157" s="12"/>
      <c r="AA2157" s="12"/>
      <c r="AB2157" s="12"/>
      <c r="AC2157" s="12"/>
      <c r="AD2157" s="12"/>
      <c r="AE2157" s="12"/>
      <c r="AF2157" s="12"/>
      <c r="AG2157" s="12"/>
      <c r="AH2157" s="12"/>
      <c r="AI2157" s="12"/>
      <c r="AJ2157" s="12"/>
      <c r="AK2157" s="12"/>
      <c r="AL2157" s="12"/>
      <c r="AM2157" s="12"/>
      <c r="AN2157" s="12"/>
      <c r="AO2157" s="12"/>
      <c r="AP2157" s="12"/>
      <c r="AQ2157" s="12"/>
      <c r="AR2157" s="12"/>
      <c r="AS2157" s="12"/>
      <c r="AT2157" s="12"/>
      <c r="AU2157" s="12"/>
      <c r="AV2157" s="12"/>
    </row>
    <row r="2158">
      <c r="S2158" s="12"/>
      <c r="T2158" s="12"/>
      <c r="U2158" s="12"/>
      <c r="V2158" s="12"/>
      <c r="W2158" s="12"/>
      <c r="X2158" s="12"/>
      <c r="Y2158" s="12"/>
      <c r="Z2158" s="12"/>
      <c r="AA2158" s="12"/>
      <c r="AB2158" s="12"/>
      <c r="AC2158" s="12"/>
      <c r="AD2158" s="12"/>
      <c r="AE2158" s="12"/>
      <c r="AF2158" s="12"/>
      <c r="AG2158" s="12"/>
      <c r="AH2158" s="12"/>
      <c r="AI2158" s="12"/>
      <c r="AJ2158" s="12"/>
      <c r="AK2158" s="12"/>
      <c r="AL2158" s="12"/>
      <c r="AM2158" s="12"/>
      <c r="AN2158" s="12"/>
      <c r="AO2158" s="12"/>
      <c r="AP2158" s="12"/>
      <c r="AQ2158" s="12"/>
      <c r="AR2158" s="12"/>
      <c r="AS2158" s="12"/>
      <c r="AT2158" s="12"/>
      <c r="AU2158" s="12"/>
      <c r="AV2158" s="12"/>
    </row>
    <row r="2159">
      <c r="S2159" s="12"/>
      <c r="T2159" s="12"/>
      <c r="U2159" s="12"/>
      <c r="V2159" s="12"/>
      <c r="W2159" s="12"/>
      <c r="X2159" s="12"/>
      <c r="Y2159" s="12"/>
      <c r="Z2159" s="12"/>
      <c r="AA2159" s="12"/>
      <c r="AB2159" s="12"/>
      <c r="AC2159" s="12"/>
      <c r="AD2159" s="12"/>
      <c r="AE2159" s="12"/>
      <c r="AF2159" s="12"/>
      <c r="AG2159" s="12"/>
      <c r="AH2159" s="12"/>
      <c r="AI2159" s="12"/>
      <c r="AJ2159" s="12"/>
      <c r="AK2159" s="12"/>
      <c r="AL2159" s="12"/>
      <c r="AM2159" s="12"/>
      <c r="AN2159" s="12"/>
      <c r="AO2159" s="12"/>
      <c r="AP2159" s="12"/>
      <c r="AQ2159" s="12"/>
      <c r="AR2159" s="12"/>
      <c r="AS2159" s="12"/>
      <c r="AT2159" s="12"/>
      <c r="AU2159" s="12"/>
      <c r="AV2159" s="12"/>
    </row>
    <row r="2160">
      <c r="S2160" s="12"/>
      <c r="T2160" s="12"/>
      <c r="U2160" s="12"/>
      <c r="V2160" s="12"/>
      <c r="W2160" s="12"/>
      <c r="X2160" s="12"/>
      <c r="Y2160" s="12"/>
      <c r="Z2160" s="12"/>
      <c r="AA2160" s="12"/>
      <c r="AB2160" s="12"/>
      <c r="AC2160" s="12"/>
      <c r="AD2160" s="12"/>
      <c r="AE2160" s="12"/>
      <c r="AF2160" s="12"/>
      <c r="AG2160" s="12"/>
      <c r="AH2160" s="12"/>
      <c r="AI2160" s="12"/>
      <c r="AJ2160" s="12"/>
      <c r="AK2160" s="12"/>
      <c r="AL2160" s="12"/>
      <c r="AM2160" s="12"/>
      <c r="AN2160" s="12"/>
      <c r="AO2160" s="12"/>
      <c r="AP2160" s="12"/>
      <c r="AQ2160" s="12"/>
      <c r="AR2160" s="12"/>
      <c r="AS2160" s="12"/>
      <c r="AT2160" s="12"/>
      <c r="AU2160" s="12"/>
      <c r="AV2160" s="12"/>
    </row>
    <row r="2161">
      <c r="S2161" s="12"/>
      <c r="T2161" s="12"/>
      <c r="U2161" s="12"/>
      <c r="V2161" s="12"/>
      <c r="W2161" s="12"/>
      <c r="X2161" s="12"/>
      <c r="Y2161" s="12"/>
      <c r="Z2161" s="12"/>
      <c r="AA2161" s="12"/>
      <c r="AB2161" s="12"/>
      <c r="AC2161" s="12"/>
      <c r="AD2161" s="12"/>
      <c r="AE2161" s="12"/>
      <c r="AF2161" s="12"/>
      <c r="AG2161" s="12"/>
      <c r="AH2161" s="12"/>
      <c r="AI2161" s="12"/>
      <c r="AJ2161" s="12"/>
      <c r="AK2161" s="12"/>
      <c r="AL2161" s="12"/>
      <c r="AM2161" s="12"/>
      <c r="AN2161" s="12"/>
      <c r="AO2161" s="12"/>
      <c r="AP2161" s="12"/>
      <c r="AQ2161" s="12"/>
      <c r="AR2161" s="12"/>
      <c r="AS2161" s="12"/>
      <c r="AT2161" s="12"/>
      <c r="AU2161" s="12"/>
      <c r="AV2161" s="12"/>
    </row>
    <row r="2162">
      <c r="S2162" s="12"/>
      <c r="T2162" s="12"/>
      <c r="U2162" s="12"/>
      <c r="V2162" s="12"/>
      <c r="W2162" s="12"/>
      <c r="X2162" s="12"/>
      <c r="Y2162" s="12"/>
      <c r="Z2162" s="12"/>
      <c r="AA2162" s="12"/>
      <c r="AB2162" s="12"/>
      <c r="AC2162" s="12"/>
      <c r="AD2162" s="12"/>
      <c r="AE2162" s="12"/>
      <c r="AF2162" s="12"/>
      <c r="AG2162" s="12"/>
      <c r="AH2162" s="12"/>
      <c r="AI2162" s="12"/>
      <c r="AJ2162" s="12"/>
      <c r="AK2162" s="12"/>
      <c r="AL2162" s="12"/>
      <c r="AM2162" s="12"/>
      <c r="AN2162" s="12"/>
      <c r="AO2162" s="12"/>
      <c r="AP2162" s="12"/>
      <c r="AQ2162" s="12"/>
      <c r="AR2162" s="12"/>
      <c r="AS2162" s="12"/>
      <c r="AT2162" s="12"/>
      <c r="AU2162" s="12"/>
      <c r="AV2162" s="12"/>
    </row>
    <row r="2163">
      <c r="S2163" s="12"/>
      <c r="T2163" s="12"/>
      <c r="U2163" s="12"/>
      <c r="V2163" s="12"/>
      <c r="W2163" s="12"/>
      <c r="X2163" s="12"/>
      <c r="Y2163" s="12"/>
      <c r="Z2163" s="12"/>
      <c r="AA2163" s="12"/>
      <c r="AB2163" s="12"/>
      <c r="AC2163" s="12"/>
      <c r="AD2163" s="12"/>
      <c r="AE2163" s="12"/>
      <c r="AF2163" s="12"/>
      <c r="AG2163" s="12"/>
      <c r="AH2163" s="12"/>
      <c r="AI2163" s="12"/>
      <c r="AJ2163" s="12"/>
      <c r="AK2163" s="12"/>
      <c r="AL2163" s="12"/>
      <c r="AM2163" s="12"/>
      <c r="AN2163" s="12"/>
      <c r="AO2163" s="12"/>
      <c r="AP2163" s="12"/>
      <c r="AQ2163" s="12"/>
      <c r="AR2163" s="12"/>
      <c r="AS2163" s="12"/>
      <c r="AT2163" s="12"/>
      <c r="AU2163" s="12"/>
      <c r="AV2163" s="12"/>
    </row>
    <row r="2164">
      <c r="S2164" s="12"/>
      <c r="T2164" s="12"/>
      <c r="U2164" s="12"/>
      <c r="V2164" s="12"/>
      <c r="W2164" s="12"/>
      <c r="X2164" s="12"/>
      <c r="Y2164" s="12"/>
      <c r="Z2164" s="12"/>
      <c r="AA2164" s="12"/>
      <c r="AB2164" s="12"/>
      <c r="AC2164" s="12"/>
      <c r="AD2164" s="12"/>
      <c r="AE2164" s="12"/>
      <c r="AF2164" s="12"/>
      <c r="AG2164" s="12"/>
      <c r="AH2164" s="12"/>
      <c r="AI2164" s="12"/>
      <c r="AJ2164" s="12"/>
      <c r="AK2164" s="12"/>
      <c r="AL2164" s="12"/>
      <c r="AM2164" s="12"/>
      <c r="AN2164" s="12"/>
      <c r="AO2164" s="12"/>
      <c r="AP2164" s="12"/>
      <c r="AQ2164" s="12"/>
      <c r="AR2164" s="12"/>
      <c r="AS2164" s="12"/>
      <c r="AT2164" s="12"/>
      <c r="AU2164" s="12"/>
      <c r="AV2164" s="12"/>
    </row>
    <row r="2165">
      <c r="S2165" s="12"/>
      <c r="T2165" s="12"/>
      <c r="U2165" s="12"/>
      <c r="V2165" s="12"/>
      <c r="W2165" s="12"/>
      <c r="X2165" s="12"/>
      <c r="Y2165" s="12"/>
      <c r="Z2165" s="12"/>
      <c r="AA2165" s="12"/>
      <c r="AB2165" s="12"/>
      <c r="AC2165" s="12"/>
      <c r="AD2165" s="12"/>
      <c r="AE2165" s="12"/>
      <c r="AF2165" s="12"/>
      <c r="AG2165" s="12"/>
      <c r="AH2165" s="12"/>
      <c r="AI2165" s="12"/>
      <c r="AJ2165" s="12"/>
      <c r="AK2165" s="12"/>
      <c r="AL2165" s="12"/>
      <c r="AM2165" s="12"/>
      <c r="AN2165" s="12"/>
      <c r="AO2165" s="12"/>
      <c r="AP2165" s="12"/>
      <c r="AQ2165" s="12"/>
      <c r="AR2165" s="12"/>
      <c r="AS2165" s="12"/>
      <c r="AT2165" s="12"/>
      <c r="AU2165" s="12"/>
      <c r="AV2165" s="12"/>
    </row>
    <row r="2166">
      <c r="S2166" s="12"/>
      <c r="T2166" s="12"/>
      <c r="U2166" s="12"/>
      <c r="V2166" s="12"/>
      <c r="W2166" s="12"/>
      <c r="X2166" s="12"/>
      <c r="Y2166" s="12"/>
      <c r="Z2166" s="12"/>
      <c r="AA2166" s="12"/>
      <c r="AB2166" s="12"/>
      <c r="AC2166" s="12"/>
      <c r="AD2166" s="12"/>
      <c r="AE2166" s="12"/>
      <c r="AF2166" s="12"/>
      <c r="AG2166" s="12"/>
      <c r="AH2166" s="12"/>
      <c r="AI2166" s="12"/>
      <c r="AJ2166" s="12"/>
      <c r="AK2166" s="12"/>
      <c r="AL2166" s="12"/>
      <c r="AM2166" s="12"/>
      <c r="AN2166" s="12"/>
      <c r="AO2166" s="12"/>
      <c r="AP2166" s="12"/>
      <c r="AQ2166" s="12"/>
      <c r="AR2166" s="12"/>
      <c r="AS2166" s="12"/>
      <c r="AT2166" s="12"/>
      <c r="AU2166" s="12"/>
      <c r="AV2166" s="12"/>
    </row>
    <row r="2167">
      <c r="S2167" s="12"/>
      <c r="T2167" s="12"/>
      <c r="U2167" s="12"/>
      <c r="V2167" s="12"/>
      <c r="W2167" s="12"/>
      <c r="X2167" s="12"/>
      <c r="Y2167" s="12"/>
      <c r="Z2167" s="12"/>
      <c r="AA2167" s="12"/>
      <c r="AB2167" s="12"/>
      <c r="AC2167" s="12"/>
      <c r="AD2167" s="12"/>
      <c r="AE2167" s="12"/>
      <c r="AF2167" s="12"/>
      <c r="AG2167" s="12"/>
      <c r="AH2167" s="12"/>
      <c r="AI2167" s="12"/>
      <c r="AJ2167" s="12"/>
      <c r="AK2167" s="12"/>
      <c r="AL2167" s="12"/>
      <c r="AM2167" s="12"/>
      <c r="AN2167" s="12"/>
      <c r="AO2167" s="12"/>
      <c r="AP2167" s="12"/>
      <c r="AQ2167" s="12"/>
      <c r="AR2167" s="12"/>
      <c r="AS2167" s="12"/>
      <c r="AT2167" s="12"/>
      <c r="AU2167" s="12"/>
      <c r="AV2167" s="12"/>
    </row>
    <row r="2168">
      <c r="S2168" s="12"/>
      <c r="T2168" s="12"/>
      <c r="U2168" s="12"/>
      <c r="V2168" s="12"/>
      <c r="W2168" s="12"/>
      <c r="X2168" s="12"/>
      <c r="Y2168" s="12"/>
      <c r="Z2168" s="12"/>
      <c r="AA2168" s="12"/>
      <c r="AB2168" s="12"/>
      <c r="AC2168" s="12"/>
      <c r="AD2168" s="12"/>
      <c r="AE2168" s="12"/>
      <c r="AF2168" s="12"/>
      <c r="AG2168" s="12"/>
      <c r="AH2168" s="12"/>
      <c r="AI2168" s="12"/>
      <c r="AJ2168" s="12"/>
      <c r="AK2168" s="12"/>
      <c r="AL2168" s="12"/>
      <c r="AM2168" s="12"/>
      <c r="AN2168" s="12"/>
      <c r="AO2168" s="12"/>
      <c r="AP2168" s="12"/>
      <c r="AQ2168" s="12"/>
      <c r="AR2168" s="12"/>
      <c r="AS2168" s="12"/>
      <c r="AT2168" s="12"/>
      <c r="AU2168" s="12"/>
      <c r="AV2168" s="12"/>
    </row>
    <row r="2169">
      <c r="S2169" s="12"/>
      <c r="T2169" s="12"/>
      <c r="U2169" s="12"/>
      <c r="V2169" s="12"/>
      <c r="W2169" s="12"/>
      <c r="X2169" s="12"/>
      <c r="Y2169" s="12"/>
      <c r="Z2169" s="12"/>
      <c r="AA2169" s="12"/>
      <c r="AB2169" s="12"/>
      <c r="AC2169" s="12"/>
      <c r="AD2169" s="12"/>
      <c r="AE2169" s="12"/>
      <c r="AF2169" s="12"/>
      <c r="AG2169" s="12"/>
      <c r="AH2169" s="12"/>
      <c r="AI2169" s="12"/>
      <c r="AJ2169" s="12"/>
      <c r="AK2169" s="12"/>
      <c r="AL2169" s="12"/>
      <c r="AM2169" s="12"/>
      <c r="AN2169" s="12"/>
      <c r="AO2169" s="12"/>
      <c r="AP2169" s="12"/>
      <c r="AQ2169" s="12"/>
      <c r="AR2169" s="12"/>
      <c r="AS2169" s="12"/>
      <c r="AT2169" s="12"/>
      <c r="AU2169" s="12"/>
      <c r="AV2169" s="12"/>
    </row>
    <row r="2170">
      <c r="S2170" s="12"/>
      <c r="T2170" s="12"/>
      <c r="U2170" s="12"/>
      <c r="V2170" s="12"/>
      <c r="W2170" s="12"/>
      <c r="X2170" s="12"/>
      <c r="Y2170" s="12"/>
      <c r="Z2170" s="12"/>
      <c r="AA2170" s="12"/>
      <c r="AB2170" s="12"/>
      <c r="AC2170" s="12"/>
      <c r="AD2170" s="12"/>
      <c r="AE2170" s="12"/>
      <c r="AF2170" s="12"/>
      <c r="AG2170" s="12"/>
      <c r="AH2170" s="12"/>
      <c r="AI2170" s="12"/>
      <c r="AJ2170" s="12"/>
      <c r="AK2170" s="12"/>
      <c r="AL2170" s="12"/>
      <c r="AM2170" s="12"/>
      <c r="AN2170" s="12"/>
      <c r="AO2170" s="12"/>
      <c r="AP2170" s="12"/>
      <c r="AQ2170" s="12"/>
      <c r="AR2170" s="12"/>
      <c r="AS2170" s="12"/>
      <c r="AT2170" s="12"/>
      <c r="AU2170" s="12"/>
      <c r="AV2170" s="12"/>
    </row>
    <row r="2171">
      <c r="S2171" s="12"/>
      <c r="T2171" s="12"/>
      <c r="U2171" s="12"/>
      <c r="V2171" s="12"/>
      <c r="W2171" s="12"/>
      <c r="X2171" s="12"/>
      <c r="Y2171" s="12"/>
      <c r="Z2171" s="12"/>
      <c r="AA2171" s="12"/>
      <c r="AB2171" s="12"/>
      <c r="AC2171" s="12"/>
      <c r="AD2171" s="12"/>
      <c r="AE2171" s="12"/>
      <c r="AF2171" s="12"/>
      <c r="AG2171" s="12"/>
      <c r="AH2171" s="12"/>
      <c r="AI2171" s="12"/>
      <c r="AJ2171" s="12"/>
      <c r="AK2171" s="12"/>
      <c r="AL2171" s="12"/>
      <c r="AM2171" s="12"/>
      <c r="AN2171" s="12"/>
      <c r="AO2171" s="12"/>
      <c r="AP2171" s="12"/>
      <c r="AQ2171" s="12"/>
      <c r="AR2171" s="12"/>
      <c r="AS2171" s="12"/>
      <c r="AT2171" s="12"/>
      <c r="AU2171" s="12"/>
      <c r="AV2171" s="12"/>
    </row>
    <row r="2172">
      <c r="S2172" s="12"/>
      <c r="T2172" s="12"/>
      <c r="U2172" s="12"/>
      <c r="V2172" s="12"/>
      <c r="W2172" s="12"/>
      <c r="X2172" s="12"/>
      <c r="Y2172" s="12"/>
      <c r="Z2172" s="12"/>
      <c r="AA2172" s="12"/>
      <c r="AB2172" s="12"/>
      <c r="AC2172" s="12"/>
      <c r="AD2172" s="12"/>
      <c r="AE2172" s="12"/>
      <c r="AF2172" s="12"/>
      <c r="AG2172" s="12"/>
      <c r="AH2172" s="12"/>
      <c r="AI2172" s="12"/>
      <c r="AJ2172" s="12"/>
      <c r="AK2172" s="12"/>
      <c r="AL2172" s="12"/>
      <c r="AM2172" s="12"/>
      <c r="AN2172" s="12"/>
      <c r="AO2172" s="12"/>
      <c r="AP2172" s="12"/>
      <c r="AQ2172" s="12"/>
      <c r="AR2172" s="12"/>
      <c r="AS2172" s="12"/>
      <c r="AT2172" s="12"/>
      <c r="AU2172" s="12"/>
      <c r="AV2172" s="12"/>
    </row>
    <row r="2173">
      <c r="S2173" s="12"/>
      <c r="T2173" s="12"/>
      <c r="U2173" s="12"/>
      <c r="V2173" s="12"/>
      <c r="W2173" s="12"/>
      <c r="X2173" s="12"/>
      <c r="Y2173" s="12"/>
      <c r="Z2173" s="12"/>
      <c r="AA2173" s="12"/>
      <c r="AB2173" s="12"/>
      <c r="AC2173" s="12"/>
      <c r="AD2173" s="12"/>
      <c r="AE2173" s="12"/>
      <c r="AF2173" s="12"/>
      <c r="AG2173" s="12"/>
      <c r="AH2173" s="12"/>
      <c r="AI2173" s="12"/>
      <c r="AJ2173" s="12"/>
      <c r="AK2173" s="12"/>
      <c r="AL2173" s="12"/>
      <c r="AM2173" s="12"/>
      <c r="AN2173" s="12"/>
      <c r="AO2173" s="12"/>
      <c r="AP2173" s="12"/>
      <c r="AQ2173" s="12"/>
      <c r="AR2173" s="12"/>
      <c r="AS2173" s="12"/>
      <c r="AT2173" s="12"/>
      <c r="AU2173" s="12"/>
      <c r="AV2173" s="12"/>
    </row>
    <row r="2174">
      <c r="S2174" s="12"/>
      <c r="T2174" s="12"/>
      <c r="U2174" s="12"/>
      <c r="V2174" s="12"/>
      <c r="W2174" s="12"/>
      <c r="X2174" s="12"/>
      <c r="Y2174" s="12"/>
      <c r="Z2174" s="12"/>
      <c r="AA2174" s="12"/>
      <c r="AB2174" s="12"/>
      <c r="AC2174" s="12"/>
      <c r="AD2174" s="12"/>
      <c r="AE2174" s="12"/>
      <c r="AF2174" s="12"/>
      <c r="AG2174" s="12"/>
      <c r="AH2174" s="12"/>
      <c r="AI2174" s="12"/>
      <c r="AJ2174" s="12"/>
      <c r="AK2174" s="12"/>
      <c r="AL2174" s="12"/>
      <c r="AM2174" s="12"/>
      <c r="AN2174" s="12"/>
      <c r="AO2174" s="12"/>
      <c r="AP2174" s="12"/>
      <c r="AQ2174" s="12"/>
      <c r="AR2174" s="12"/>
      <c r="AS2174" s="12"/>
      <c r="AT2174" s="12"/>
      <c r="AU2174" s="12"/>
      <c r="AV2174" s="12"/>
    </row>
    <row r="2175">
      <c r="S2175" s="12"/>
      <c r="T2175" s="12"/>
      <c r="U2175" s="12"/>
      <c r="V2175" s="12"/>
      <c r="W2175" s="12"/>
      <c r="X2175" s="12"/>
      <c r="Y2175" s="12"/>
      <c r="Z2175" s="12"/>
      <c r="AA2175" s="12"/>
      <c r="AB2175" s="12"/>
      <c r="AC2175" s="12"/>
      <c r="AD2175" s="12"/>
      <c r="AE2175" s="12"/>
      <c r="AF2175" s="12"/>
      <c r="AG2175" s="12"/>
      <c r="AH2175" s="12"/>
      <c r="AI2175" s="12"/>
      <c r="AJ2175" s="12"/>
      <c r="AK2175" s="12"/>
      <c r="AL2175" s="12"/>
      <c r="AM2175" s="12"/>
      <c r="AN2175" s="12"/>
      <c r="AO2175" s="12"/>
      <c r="AP2175" s="12"/>
      <c r="AQ2175" s="12"/>
      <c r="AR2175" s="12"/>
      <c r="AS2175" s="12"/>
      <c r="AT2175" s="12"/>
      <c r="AU2175" s="12"/>
      <c r="AV2175" s="12"/>
    </row>
    <row r="2176">
      <c r="S2176" s="12"/>
      <c r="T2176" s="12"/>
      <c r="U2176" s="12"/>
      <c r="V2176" s="12"/>
      <c r="W2176" s="12"/>
      <c r="X2176" s="12"/>
      <c r="Y2176" s="12"/>
      <c r="Z2176" s="12"/>
      <c r="AA2176" s="12"/>
      <c r="AB2176" s="12"/>
      <c r="AC2176" s="12"/>
      <c r="AD2176" s="12"/>
      <c r="AE2176" s="12"/>
      <c r="AF2176" s="12"/>
      <c r="AG2176" s="12"/>
      <c r="AH2176" s="12"/>
      <c r="AI2176" s="12"/>
      <c r="AJ2176" s="12"/>
      <c r="AK2176" s="12"/>
      <c r="AL2176" s="12"/>
      <c r="AM2176" s="12"/>
      <c r="AN2176" s="12"/>
      <c r="AO2176" s="12"/>
      <c r="AP2176" s="12"/>
      <c r="AQ2176" s="12"/>
      <c r="AR2176" s="12"/>
      <c r="AS2176" s="12"/>
      <c r="AT2176" s="12"/>
      <c r="AU2176" s="12"/>
      <c r="AV2176" s="12"/>
    </row>
    <row r="2177">
      <c r="S2177" s="12"/>
      <c r="T2177" s="12"/>
      <c r="U2177" s="12"/>
      <c r="V2177" s="12"/>
      <c r="W2177" s="12"/>
      <c r="X2177" s="12"/>
      <c r="Y2177" s="12"/>
      <c r="Z2177" s="12"/>
      <c r="AA2177" s="12"/>
      <c r="AB2177" s="12"/>
      <c r="AC2177" s="12"/>
      <c r="AD2177" s="12"/>
      <c r="AE2177" s="12"/>
      <c r="AF2177" s="12"/>
      <c r="AG2177" s="12"/>
      <c r="AH2177" s="12"/>
      <c r="AI2177" s="12"/>
      <c r="AJ2177" s="12"/>
      <c r="AK2177" s="12"/>
      <c r="AL2177" s="12"/>
      <c r="AM2177" s="12"/>
      <c r="AN2177" s="12"/>
      <c r="AO2177" s="12"/>
      <c r="AP2177" s="12"/>
      <c r="AQ2177" s="12"/>
      <c r="AR2177" s="12"/>
      <c r="AS2177" s="12"/>
      <c r="AT2177" s="12"/>
      <c r="AU2177" s="12"/>
      <c r="AV2177" s="12"/>
    </row>
    <row r="2178">
      <c r="S2178" s="12"/>
      <c r="T2178" s="12"/>
      <c r="U2178" s="12"/>
      <c r="V2178" s="12"/>
      <c r="W2178" s="12"/>
      <c r="X2178" s="12"/>
      <c r="Y2178" s="12"/>
      <c r="Z2178" s="12"/>
      <c r="AA2178" s="12"/>
      <c r="AB2178" s="12"/>
      <c r="AC2178" s="12"/>
      <c r="AD2178" s="12"/>
      <c r="AE2178" s="12"/>
      <c r="AF2178" s="12"/>
      <c r="AG2178" s="12"/>
      <c r="AH2178" s="12"/>
      <c r="AI2178" s="12"/>
      <c r="AJ2178" s="12"/>
      <c r="AK2178" s="12"/>
      <c r="AL2178" s="12"/>
      <c r="AM2178" s="12"/>
      <c r="AN2178" s="12"/>
      <c r="AO2178" s="12"/>
      <c r="AP2178" s="12"/>
      <c r="AQ2178" s="12"/>
      <c r="AR2178" s="12"/>
      <c r="AS2178" s="12"/>
      <c r="AT2178" s="12"/>
      <c r="AU2178" s="12"/>
      <c r="AV2178" s="12"/>
    </row>
    <row r="2179">
      <c r="S2179" s="12"/>
      <c r="T2179" s="12"/>
      <c r="U2179" s="12"/>
      <c r="V2179" s="12"/>
      <c r="W2179" s="12"/>
      <c r="X2179" s="12"/>
      <c r="Y2179" s="12"/>
      <c r="Z2179" s="12"/>
      <c r="AA2179" s="12"/>
      <c r="AB2179" s="12"/>
      <c r="AC2179" s="12"/>
      <c r="AD2179" s="12"/>
      <c r="AE2179" s="12"/>
      <c r="AF2179" s="12"/>
      <c r="AG2179" s="12"/>
      <c r="AH2179" s="12"/>
      <c r="AI2179" s="12"/>
      <c r="AJ2179" s="12"/>
      <c r="AK2179" s="12"/>
      <c r="AL2179" s="12"/>
      <c r="AM2179" s="12"/>
      <c r="AN2179" s="12"/>
      <c r="AO2179" s="12"/>
      <c r="AP2179" s="12"/>
      <c r="AQ2179" s="12"/>
      <c r="AR2179" s="12"/>
      <c r="AS2179" s="12"/>
      <c r="AT2179" s="12"/>
      <c r="AU2179" s="12"/>
      <c r="AV2179" s="12"/>
    </row>
    <row r="2180">
      <c r="S2180" s="12"/>
      <c r="T2180" s="12"/>
      <c r="U2180" s="12"/>
      <c r="V2180" s="12"/>
      <c r="W2180" s="12"/>
      <c r="X2180" s="12"/>
      <c r="Y2180" s="12"/>
      <c r="Z2180" s="12"/>
      <c r="AA2180" s="12"/>
      <c r="AB2180" s="12"/>
      <c r="AC2180" s="12"/>
      <c r="AD2180" s="12"/>
      <c r="AE2180" s="12"/>
      <c r="AF2180" s="12"/>
      <c r="AG2180" s="12"/>
      <c r="AH2180" s="12"/>
      <c r="AI2180" s="12"/>
      <c r="AJ2180" s="12"/>
      <c r="AK2180" s="12"/>
      <c r="AL2180" s="12"/>
      <c r="AM2180" s="12"/>
      <c r="AN2180" s="12"/>
      <c r="AO2180" s="12"/>
      <c r="AP2180" s="12"/>
      <c r="AQ2180" s="12"/>
      <c r="AR2180" s="12"/>
      <c r="AS2180" s="12"/>
      <c r="AT2180" s="12"/>
      <c r="AU2180" s="12"/>
      <c r="AV2180" s="12"/>
    </row>
    <row r="2181">
      <c r="S2181" s="12"/>
      <c r="T2181" s="12"/>
      <c r="U2181" s="12"/>
      <c r="V2181" s="12"/>
      <c r="W2181" s="12"/>
      <c r="X2181" s="12"/>
      <c r="Y2181" s="12"/>
      <c r="Z2181" s="12"/>
      <c r="AA2181" s="12"/>
      <c r="AB2181" s="12"/>
      <c r="AC2181" s="12"/>
      <c r="AD2181" s="12"/>
      <c r="AE2181" s="12"/>
      <c r="AF2181" s="12"/>
      <c r="AG2181" s="12"/>
      <c r="AH2181" s="12"/>
      <c r="AI2181" s="12"/>
      <c r="AJ2181" s="12"/>
      <c r="AK2181" s="12"/>
      <c r="AL2181" s="12"/>
      <c r="AM2181" s="12"/>
      <c r="AN2181" s="12"/>
      <c r="AO2181" s="12"/>
      <c r="AP2181" s="12"/>
      <c r="AQ2181" s="12"/>
      <c r="AR2181" s="12"/>
      <c r="AS2181" s="12"/>
      <c r="AT2181" s="12"/>
      <c r="AU2181" s="12"/>
      <c r="AV2181" s="12"/>
    </row>
    <row r="2182">
      <c r="S2182" s="12"/>
      <c r="T2182" s="12"/>
      <c r="U2182" s="12"/>
      <c r="V2182" s="12"/>
      <c r="W2182" s="12"/>
      <c r="X2182" s="12"/>
      <c r="Y2182" s="12"/>
      <c r="Z2182" s="12"/>
      <c r="AA2182" s="12"/>
      <c r="AB2182" s="12"/>
      <c r="AC2182" s="12"/>
      <c r="AD2182" s="12"/>
      <c r="AE2182" s="12"/>
      <c r="AF2182" s="12"/>
      <c r="AG2182" s="12"/>
      <c r="AH2182" s="12"/>
      <c r="AI2182" s="12"/>
      <c r="AJ2182" s="12"/>
      <c r="AK2182" s="12"/>
      <c r="AL2182" s="12"/>
      <c r="AM2182" s="12"/>
      <c r="AN2182" s="12"/>
      <c r="AO2182" s="12"/>
      <c r="AP2182" s="12"/>
      <c r="AQ2182" s="12"/>
      <c r="AR2182" s="12"/>
      <c r="AS2182" s="12"/>
      <c r="AT2182" s="12"/>
      <c r="AU2182" s="12"/>
      <c r="AV2182" s="12"/>
    </row>
    <row r="2183">
      <c r="S2183" s="12"/>
      <c r="T2183" s="12"/>
      <c r="U2183" s="12"/>
      <c r="V2183" s="12"/>
      <c r="W2183" s="12"/>
      <c r="X2183" s="12"/>
      <c r="Y2183" s="12"/>
      <c r="Z2183" s="12"/>
      <c r="AA2183" s="12"/>
      <c r="AB2183" s="12"/>
      <c r="AC2183" s="12"/>
      <c r="AD2183" s="12"/>
      <c r="AE2183" s="12"/>
      <c r="AF2183" s="12"/>
      <c r="AG2183" s="12"/>
      <c r="AH2183" s="12"/>
      <c r="AI2183" s="12"/>
      <c r="AJ2183" s="12"/>
      <c r="AK2183" s="12"/>
      <c r="AL2183" s="12"/>
      <c r="AM2183" s="12"/>
      <c r="AN2183" s="12"/>
      <c r="AO2183" s="12"/>
      <c r="AP2183" s="12"/>
      <c r="AQ2183" s="12"/>
      <c r="AR2183" s="12"/>
      <c r="AS2183" s="12"/>
      <c r="AT2183" s="12"/>
      <c r="AU2183" s="12"/>
      <c r="AV2183" s="12"/>
    </row>
    <row r="2184">
      <c r="S2184" s="12"/>
      <c r="T2184" s="12"/>
      <c r="U2184" s="12"/>
      <c r="V2184" s="12"/>
      <c r="W2184" s="12"/>
      <c r="X2184" s="12"/>
      <c r="Y2184" s="12"/>
      <c r="Z2184" s="12"/>
      <c r="AA2184" s="12"/>
      <c r="AB2184" s="12"/>
      <c r="AC2184" s="12"/>
      <c r="AD2184" s="12"/>
      <c r="AE2184" s="12"/>
      <c r="AF2184" s="12"/>
      <c r="AG2184" s="12"/>
      <c r="AH2184" s="12"/>
      <c r="AI2184" s="12"/>
      <c r="AJ2184" s="12"/>
      <c r="AK2184" s="12"/>
      <c r="AL2184" s="12"/>
      <c r="AM2184" s="12"/>
      <c r="AN2184" s="12"/>
      <c r="AO2184" s="12"/>
      <c r="AP2184" s="12"/>
      <c r="AQ2184" s="12"/>
      <c r="AR2184" s="12"/>
      <c r="AS2184" s="12"/>
      <c r="AT2184" s="12"/>
      <c r="AU2184" s="12"/>
      <c r="AV2184" s="12"/>
    </row>
    <row r="2185">
      <c r="S2185" s="12"/>
      <c r="T2185" s="12"/>
      <c r="U2185" s="12"/>
      <c r="V2185" s="12"/>
      <c r="W2185" s="12"/>
      <c r="X2185" s="12"/>
      <c r="Y2185" s="12"/>
      <c r="Z2185" s="12"/>
      <c r="AA2185" s="12"/>
      <c r="AB2185" s="12"/>
      <c r="AC2185" s="12"/>
      <c r="AD2185" s="12"/>
      <c r="AE2185" s="12"/>
      <c r="AF2185" s="12"/>
      <c r="AG2185" s="12"/>
      <c r="AH2185" s="12"/>
      <c r="AI2185" s="12"/>
      <c r="AJ2185" s="12"/>
      <c r="AK2185" s="12"/>
      <c r="AL2185" s="12"/>
      <c r="AM2185" s="12"/>
      <c r="AN2185" s="12"/>
      <c r="AO2185" s="12"/>
      <c r="AP2185" s="12"/>
      <c r="AQ2185" s="12"/>
      <c r="AR2185" s="12"/>
      <c r="AS2185" s="12"/>
      <c r="AT2185" s="12"/>
      <c r="AU2185" s="12"/>
      <c r="AV2185" s="12"/>
    </row>
    <row r="2186">
      <c r="S2186" s="12"/>
      <c r="T2186" s="12"/>
      <c r="U2186" s="12"/>
      <c r="V2186" s="12"/>
      <c r="W2186" s="12"/>
      <c r="X2186" s="12"/>
      <c r="Y2186" s="12"/>
      <c r="Z2186" s="12"/>
      <c r="AA2186" s="12"/>
      <c r="AB2186" s="12"/>
      <c r="AC2186" s="12"/>
      <c r="AD2186" s="12"/>
      <c r="AE2186" s="12"/>
      <c r="AF2186" s="12"/>
      <c r="AG2186" s="12"/>
      <c r="AH2186" s="12"/>
      <c r="AI2186" s="12"/>
      <c r="AJ2186" s="12"/>
      <c r="AK2186" s="12"/>
      <c r="AL2186" s="12"/>
      <c r="AM2186" s="12"/>
      <c r="AN2186" s="12"/>
      <c r="AO2186" s="12"/>
      <c r="AP2186" s="12"/>
      <c r="AQ2186" s="12"/>
      <c r="AR2186" s="12"/>
      <c r="AS2186" s="12"/>
      <c r="AT2186" s="12"/>
      <c r="AU2186" s="12"/>
      <c r="AV2186" s="12"/>
    </row>
    <row r="2187">
      <c r="S2187" s="12"/>
      <c r="T2187" s="12"/>
      <c r="U2187" s="12"/>
      <c r="V2187" s="12"/>
      <c r="W2187" s="12"/>
      <c r="X2187" s="12"/>
      <c r="Y2187" s="12"/>
      <c r="Z2187" s="12"/>
      <c r="AA2187" s="12"/>
      <c r="AB2187" s="12"/>
      <c r="AC2187" s="12"/>
      <c r="AD2187" s="12"/>
      <c r="AE2187" s="12"/>
      <c r="AF2187" s="12"/>
      <c r="AG2187" s="12"/>
      <c r="AH2187" s="12"/>
      <c r="AI2187" s="12"/>
      <c r="AJ2187" s="12"/>
      <c r="AK2187" s="12"/>
      <c r="AL2187" s="12"/>
      <c r="AM2187" s="12"/>
      <c r="AN2187" s="12"/>
      <c r="AO2187" s="12"/>
      <c r="AP2187" s="12"/>
      <c r="AQ2187" s="12"/>
      <c r="AR2187" s="12"/>
      <c r="AS2187" s="12"/>
      <c r="AT2187" s="12"/>
      <c r="AU2187" s="12"/>
      <c r="AV2187" s="12"/>
    </row>
    <row r="2188">
      <c r="S2188" s="12"/>
      <c r="T2188" s="12"/>
      <c r="U2188" s="12"/>
      <c r="V2188" s="12"/>
      <c r="W2188" s="12"/>
      <c r="X2188" s="12"/>
      <c r="Y2188" s="12"/>
      <c r="Z2188" s="12"/>
      <c r="AA2188" s="12"/>
      <c r="AB2188" s="12"/>
      <c r="AC2188" s="12"/>
      <c r="AD2188" s="12"/>
      <c r="AE2188" s="12"/>
      <c r="AF2188" s="12"/>
      <c r="AG2188" s="12"/>
      <c r="AH2188" s="12"/>
      <c r="AI2188" s="12"/>
      <c r="AJ2188" s="12"/>
      <c r="AK2188" s="12"/>
      <c r="AL2188" s="12"/>
      <c r="AM2188" s="12"/>
      <c r="AN2188" s="12"/>
      <c r="AO2188" s="12"/>
      <c r="AP2188" s="12"/>
      <c r="AQ2188" s="12"/>
      <c r="AR2188" s="12"/>
      <c r="AS2188" s="12"/>
      <c r="AT2188" s="12"/>
      <c r="AU2188" s="12"/>
      <c r="AV2188" s="12"/>
    </row>
    <row r="2189">
      <c r="S2189" s="12"/>
      <c r="T2189" s="12"/>
      <c r="U2189" s="12"/>
      <c r="V2189" s="12"/>
      <c r="W2189" s="12"/>
      <c r="X2189" s="12"/>
      <c r="Y2189" s="12"/>
      <c r="Z2189" s="12"/>
      <c r="AA2189" s="12"/>
      <c r="AB2189" s="12"/>
      <c r="AC2189" s="12"/>
      <c r="AD2189" s="12"/>
      <c r="AE2189" s="12"/>
      <c r="AF2189" s="12"/>
      <c r="AG2189" s="12"/>
      <c r="AH2189" s="12"/>
      <c r="AI2189" s="12"/>
      <c r="AJ2189" s="12"/>
      <c r="AK2189" s="12"/>
      <c r="AL2189" s="12"/>
      <c r="AM2189" s="12"/>
      <c r="AN2189" s="12"/>
      <c r="AO2189" s="12"/>
      <c r="AP2189" s="12"/>
      <c r="AQ2189" s="12"/>
      <c r="AR2189" s="12"/>
      <c r="AS2189" s="12"/>
      <c r="AT2189" s="12"/>
      <c r="AU2189" s="12"/>
      <c r="AV2189" s="12"/>
    </row>
    <row r="2190">
      <c r="S2190" s="12"/>
      <c r="T2190" s="12"/>
      <c r="U2190" s="12"/>
      <c r="V2190" s="12"/>
      <c r="W2190" s="12"/>
      <c r="X2190" s="12"/>
      <c r="Y2190" s="12"/>
      <c r="Z2190" s="12"/>
      <c r="AA2190" s="12"/>
      <c r="AB2190" s="12"/>
      <c r="AC2190" s="12"/>
      <c r="AD2190" s="12"/>
      <c r="AE2190" s="12"/>
      <c r="AF2190" s="12"/>
      <c r="AG2190" s="12"/>
      <c r="AH2190" s="12"/>
      <c r="AI2190" s="12"/>
      <c r="AJ2190" s="12"/>
      <c r="AK2190" s="12"/>
      <c r="AL2190" s="12"/>
      <c r="AM2190" s="12"/>
      <c r="AN2190" s="12"/>
      <c r="AO2190" s="12"/>
      <c r="AP2190" s="12"/>
      <c r="AQ2190" s="12"/>
      <c r="AR2190" s="12"/>
      <c r="AS2190" s="12"/>
      <c r="AT2190" s="12"/>
      <c r="AU2190" s="12"/>
      <c r="AV2190" s="12"/>
    </row>
    <row r="2191">
      <c r="S2191" s="12"/>
      <c r="T2191" s="12"/>
      <c r="U2191" s="12"/>
      <c r="V2191" s="12"/>
      <c r="W2191" s="12"/>
      <c r="X2191" s="12"/>
      <c r="Y2191" s="12"/>
      <c r="Z2191" s="12"/>
      <c r="AA2191" s="12"/>
      <c r="AB2191" s="12"/>
      <c r="AC2191" s="12"/>
      <c r="AD2191" s="12"/>
      <c r="AE2191" s="12"/>
      <c r="AF2191" s="12"/>
      <c r="AG2191" s="12"/>
      <c r="AH2191" s="12"/>
      <c r="AI2191" s="12"/>
      <c r="AJ2191" s="12"/>
      <c r="AK2191" s="12"/>
      <c r="AL2191" s="12"/>
      <c r="AM2191" s="12"/>
      <c r="AN2191" s="12"/>
      <c r="AO2191" s="12"/>
      <c r="AP2191" s="12"/>
      <c r="AQ2191" s="12"/>
      <c r="AR2191" s="12"/>
      <c r="AS2191" s="12"/>
      <c r="AT2191" s="12"/>
      <c r="AU2191" s="12"/>
      <c r="AV2191" s="12"/>
    </row>
    <row r="2192">
      <c r="S2192" s="12"/>
      <c r="T2192" s="12"/>
      <c r="U2192" s="12"/>
      <c r="V2192" s="12"/>
      <c r="W2192" s="12"/>
      <c r="X2192" s="12"/>
      <c r="Y2192" s="12"/>
      <c r="Z2192" s="12"/>
      <c r="AA2192" s="12"/>
      <c r="AB2192" s="12"/>
      <c r="AC2192" s="12"/>
      <c r="AD2192" s="12"/>
      <c r="AE2192" s="12"/>
      <c r="AF2192" s="12"/>
      <c r="AG2192" s="12"/>
      <c r="AH2192" s="12"/>
      <c r="AI2192" s="12"/>
      <c r="AJ2192" s="12"/>
      <c r="AK2192" s="12"/>
      <c r="AL2192" s="12"/>
      <c r="AM2192" s="12"/>
      <c r="AN2192" s="12"/>
      <c r="AO2192" s="12"/>
      <c r="AP2192" s="12"/>
      <c r="AQ2192" s="12"/>
      <c r="AR2192" s="12"/>
      <c r="AS2192" s="12"/>
      <c r="AT2192" s="12"/>
      <c r="AU2192" s="12"/>
      <c r="AV2192" s="12"/>
    </row>
    <row r="2193">
      <c r="S2193" s="12"/>
      <c r="T2193" s="12"/>
      <c r="U2193" s="12"/>
      <c r="V2193" s="12"/>
      <c r="W2193" s="12"/>
      <c r="X2193" s="12"/>
      <c r="Y2193" s="12"/>
      <c r="Z2193" s="12"/>
      <c r="AA2193" s="12"/>
      <c r="AB2193" s="12"/>
      <c r="AC2193" s="12"/>
      <c r="AD2193" s="12"/>
      <c r="AE2193" s="12"/>
      <c r="AF2193" s="12"/>
      <c r="AG2193" s="12"/>
      <c r="AH2193" s="12"/>
      <c r="AI2193" s="12"/>
      <c r="AJ2193" s="12"/>
      <c r="AK2193" s="12"/>
      <c r="AL2193" s="12"/>
      <c r="AM2193" s="12"/>
      <c r="AN2193" s="12"/>
      <c r="AO2193" s="12"/>
      <c r="AP2193" s="12"/>
      <c r="AQ2193" s="12"/>
      <c r="AR2193" s="12"/>
      <c r="AS2193" s="12"/>
      <c r="AT2193" s="12"/>
      <c r="AU2193" s="12"/>
      <c r="AV2193" s="12"/>
    </row>
    <row r="2194">
      <c r="S2194" s="12"/>
      <c r="T2194" s="12"/>
      <c r="U2194" s="12"/>
      <c r="V2194" s="12"/>
      <c r="W2194" s="12"/>
      <c r="X2194" s="12"/>
      <c r="Y2194" s="12"/>
      <c r="Z2194" s="12"/>
      <c r="AA2194" s="12"/>
      <c r="AB2194" s="12"/>
      <c r="AC2194" s="12"/>
      <c r="AD2194" s="12"/>
      <c r="AE2194" s="12"/>
      <c r="AF2194" s="12"/>
      <c r="AG2194" s="12"/>
      <c r="AH2194" s="12"/>
      <c r="AI2194" s="12"/>
      <c r="AJ2194" s="12"/>
      <c r="AK2194" s="12"/>
      <c r="AL2194" s="12"/>
      <c r="AM2194" s="12"/>
      <c r="AN2194" s="12"/>
      <c r="AO2194" s="12"/>
      <c r="AP2194" s="12"/>
      <c r="AQ2194" s="12"/>
      <c r="AR2194" s="12"/>
      <c r="AS2194" s="12"/>
      <c r="AT2194" s="12"/>
      <c r="AU2194" s="12"/>
      <c r="AV2194" s="12"/>
    </row>
    <row r="2195">
      <c r="S2195" s="12"/>
      <c r="T2195" s="12"/>
      <c r="U2195" s="12"/>
      <c r="V2195" s="12"/>
      <c r="W2195" s="12"/>
      <c r="X2195" s="12"/>
      <c r="Y2195" s="12"/>
      <c r="Z2195" s="12"/>
      <c r="AA2195" s="12"/>
      <c r="AB2195" s="12"/>
      <c r="AC2195" s="12"/>
      <c r="AD2195" s="12"/>
      <c r="AE2195" s="12"/>
      <c r="AF2195" s="12"/>
      <c r="AG2195" s="12"/>
      <c r="AH2195" s="12"/>
      <c r="AI2195" s="12"/>
      <c r="AJ2195" s="12"/>
      <c r="AK2195" s="12"/>
      <c r="AL2195" s="12"/>
      <c r="AM2195" s="12"/>
      <c r="AN2195" s="12"/>
      <c r="AO2195" s="12"/>
      <c r="AP2195" s="12"/>
      <c r="AQ2195" s="12"/>
      <c r="AR2195" s="12"/>
      <c r="AS2195" s="12"/>
      <c r="AT2195" s="12"/>
      <c r="AU2195" s="12"/>
      <c r="AV2195" s="12"/>
    </row>
    <row r="2196">
      <c r="S2196" s="12"/>
      <c r="T2196" s="12"/>
      <c r="U2196" s="12"/>
      <c r="V2196" s="12"/>
      <c r="W2196" s="12"/>
      <c r="X2196" s="12"/>
      <c r="Y2196" s="12"/>
      <c r="Z2196" s="12"/>
      <c r="AA2196" s="12"/>
      <c r="AB2196" s="12"/>
      <c r="AC2196" s="12"/>
      <c r="AD2196" s="12"/>
      <c r="AE2196" s="12"/>
      <c r="AF2196" s="12"/>
      <c r="AG2196" s="12"/>
      <c r="AH2196" s="12"/>
      <c r="AI2196" s="12"/>
      <c r="AJ2196" s="12"/>
      <c r="AK2196" s="12"/>
      <c r="AL2196" s="12"/>
      <c r="AM2196" s="12"/>
      <c r="AN2196" s="12"/>
      <c r="AO2196" s="12"/>
      <c r="AP2196" s="12"/>
      <c r="AQ2196" s="12"/>
      <c r="AR2196" s="12"/>
      <c r="AS2196" s="12"/>
      <c r="AT2196" s="12"/>
      <c r="AU2196" s="12"/>
      <c r="AV2196" s="12"/>
    </row>
    <row r="2197">
      <c r="S2197" s="12"/>
      <c r="T2197" s="12"/>
      <c r="U2197" s="12"/>
      <c r="V2197" s="12"/>
      <c r="W2197" s="12"/>
      <c r="X2197" s="12"/>
      <c r="Y2197" s="12"/>
      <c r="Z2197" s="12"/>
      <c r="AA2197" s="12"/>
      <c r="AB2197" s="12"/>
      <c r="AC2197" s="12"/>
      <c r="AD2197" s="12"/>
      <c r="AE2197" s="12"/>
      <c r="AF2197" s="12"/>
      <c r="AG2197" s="12"/>
      <c r="AH2197" s="12"/>
      <c r="AI2197" s="12"/>
      <c r="AJ2197" s="12"/>
      <c r="AK2197" s="12"/>
      <c r="AL2197" s="12"/>
      <c r="AM2197" s="12"/>
      <c r="AN2197" s="12"/>
      <c r="AO2197" s="12"/>
      <c r="AP2197" s="12"/>
      <c r="AQ2197" s="12"/>
      <c r="AR2197" s="12"/>
      <c r="AS2197" s="12"/>
      <c r="AT2197" s="12"/>
      <c r="AU2197" s="12"/>
      <c r="AV2197" s="12"/>
    </row>
    <row r="2198">
      <c r="S2198" s="12"/>
      <c r="T2198" s="12"/>
      <c r="U2198" s="12"/>
      <c r="V2198" s="12"/>
      <c r="W2198" s="12"/>
      <c r="X2198" s="12"/>
      <c r="Y2198" s="12"/>
      <c r="Z2198" s="12"/>
      <c r="AA2198" s="12"/>
      <c r="AB2198" s="12"/>
      <c r="AC2198" s="12"/>
      <c r="AD2198" s="12"/>
      <c r="AE2198" s="12"/>
      <c r="AF2198" s="12"/>
      <c r="AG2198" s="12"/>
      <c r="AH2198" s="12"/>
      <c r="AI2198" s="12"/>
      <c r="AJ2198" s="12"/>
      <c r="AK2198" s="12"/>
      <c r="AL2198" s="12"/>
      <c r="AM2198" s="12"/>
      <c r="AN2198" s="12"/>
      <c r="AO2198" s="12"/>
      <c r="AP2198" s="12"/>
      <c r="AQ2198" s="12"/>
      <c r="AR2198" s="12"/>
      <c r="AS2198" s="12"/>
      <c r="AT2198" s="12"/>
      <c r="AU2198" s="12"/>
      <c r="AV2198" s="12"/>
    </row>
    <row r="2199">
      <c r="S2199" s="12"/>
      <c r="T2199" s="12"/>
      <c r="U2199" s="12"/>
      <c r="V2199" s="12"/>
      <c r="W2199" s="12"/>
      <c r="X2199" s="12"/>
      <c r="Y2199" s="12"/>
      <c r="Z2199" s="12"/>
      <c r="AA2199" s="12"/>
      <c r="AB2199" s="12"/>
      <c r="AC2199" s="12"/>
      <c r="AD2199" s="12"/>
      <c r="AE2199" s="12"/>
      <c r="AF2199" s="12"/>
      <c r="AG2199" s="12"/>
      <c r="AH2199" s="12"/>
      <c r="AI2199" s="12"/>
      <c r="AJ2199" s="12"/>
      <c r="AK2199" s="12"/>
      <c r="AL2199" s="12"/>
      <c r="AM2199" s="12"/>
      <c r="AN2199" s="12"/>
      <c r="AO2199" s="12"/>
      <c r="AP2199" s="12"/>
      <c r="AQ2199" s="12"/>
      <c r="AR2199" s="12"/>
      <c r="AS2199" s="12"/>
      <c r="AT2199" s="12"/>
      <c r="AU2199" s="12"/>
      <c r="AV2199" s="12"/>
    </row>
    <row r="2200">
      <c r="S2200" s="12"/>
      <c r="T2200" s="12"/>
      <c r="U2200" s="12"/>
      <c r="V2200" s="12"/>
      <c r="W2200" s="12"/>
      <c r="X2200" s="12"/>
      <c r="Y2200" s="12"/>
      <c r="Z2200" s="12"/>
      <c r="AA2200" s="12"/>
      <c r="AB2200" s="12"/>
      <c r="AC2200" s="12"/>
      <c r="AD2200" s="12"/>
      <c r="AE2200" s="12"/>
      <c r="AF2200" s="12"/>
      <c r="AG2200" s="12"/>
      <c r="AH2200" s="12"/>
      <c r="AI2200" s="12"/>
      <c r="AJ2200" s="12"/>
      <c r="AK2200" s="12"/>
      <c r="AL2200" s="12"/>
      <c r="AM2200" s="12"/>
      <c r="AN2200" s="12"/>
      <c r="AO2200" s="12"/>
      <c r="AP2200" s="12"/>
      <c r="AQ2200" s="12"/>
      <c r="AR2200" s="12"/>
      <c r="AS2200" s="12"/>
      <c r="AT2200" s="12"/>
      <c r="AU2200" s="12"/>
      <c r="AV2200" s="12"/>
    </row>
    <row r="2201">
      <c r="S2201" s="12"/>
      <c r="T2201" s="12"/>
      <c r="U2201" s="12"/>
      <c r="V2201" s="12"/>
      <c r="W2201" s="12"/>
      <c r="X2201" s="12"/>
      <c r="Y2201" s="12"/>
      <c r="Z2201" s="12"/>
      <c r="AA2201" s="12"/>
      <c r="AB2201" s="12"/>
      <c r="AC2201" s="12"/>
      <c r="AD2201" s="12"/>
      <c r="AE2201" s="12"/>
      <c r="AF2201" s="12"/>
      <c r="AG2201" s="12"/>
      <c r="AH2201" s="12"/>
      <c r="AI2201" s="12"/>
      <c r="AJ2201" s="12"/>
      <c r="AK2201" s="12"/>
      <c r="AL2201" s="12"/>
      <c r="AM2201" s="12"/>
      <c r="AN2201" s="12"/>
      <c r="AO2201" s="12"/>
      <c r="AP2201" s="12"/>
      <c r="AQ2201" s="12"/>
      <c r="AR2201" s="12"/>
      <c r="AS2201" s="12"/>
      <c r="AT2201" s="12"/>
      <c r="AU2201" s="12"/>
      <c r="AV2201" s="12"/>
    </row>
    <row r="2202">
      <c r="S2202" s="12"/>
      <c r="T2202" s="12"/>
      <c r="U2202" s="12"/>
      <c r="V2202" s="12"/>
      <c r="W2202" s="12"/>
      <c r="X2202" s="12"/>
      <c r="Y2202" s="12"/>
      <c r="Z2202" s="12"/>
      <c r="AA2202" s="12"/>
      <c r="AB2202" s="12"/>
      <c r="AC2202" s="12"/>
      <c r="AD2202" s="12"/>
      <c r="AE2202" s="12"/>
      <c r="AF2202" s="12"/>
      <c r="AG2202" s="12"/>
      <c r="AH2202" s="12"/>
      <c r="AI2202" s="12"/>
      <c r="AJ2202" s="12"/>
      <c r="AK2202" s="12"/>
      <c r="AL2202" s="12"/>
      <c r="AM2202" s="12"/>
      <c r="AN2202" s="12"/>
      <c r="AO2202" s="12"/>
      <c r="AP2202" s="12"/>
      <c r="AQ2202" s="12"/>
      <c r="AR2202" s="12"/>
      <c r="AS2202" s="12"/>
      <c r="AT2202" s="12"/>
      <c r="AU2202" s="12"/>
      <c r="AV2202" s="12"/>
    </row>
    <row r="2203">
      <c r="S2203" s="12"/>
      <c r="T2203" s="12"/>
      <c r="U2203" s="12"/>
      <c r="V2203" s="12"/>
      <c r="W2203" s="12"/>
      <c r="X2203" s="12"/>
      <c r="Y2203" s="12"/>
      <c r="Z2203" s="12"/>
      <c r="AA2203" s="12"/>
      <c r="AB2203" s="12"/>
      <c r="AC2203" s="12"/>
      <c r="AD2203" s="12"/>
      <c r="AE2203" s="12"/>
      <c r="AF2203" s="12"/>
      <c r="AG2203" s="12"/>
      <c r="AH2203" s="12"/>
      <c r="AI2203" s="12"/>
      <c r="AJ2203" s="12"/>
      <c r="AK2203" s="12"/>
      <c r="AL2203" s="12"/>
      <c r="AM2203" s="12"/>
      <c r="AN2203" s="12"/>
      <c r="AO2203" s="12"/>
      <c r="AP2203" s="12"/>
      <c r="AQ2203" s="12"/>
      <c r="AR2203" s="12"/>
      <c r="AS2203" s="12"/>
      <c r="AT2203" s="12"/>
      <c r="AU2203" s="12"/>
      <c r="AV2203" s="12"/>
    </row>
    <row r="2204">
      <c r="S2204" s="12"/>
      <c r="T2204" s="12"/>
      <c r="U2204" s="12"/>
      <c r="V2204" s="12"/>
      <c r="W2204" s="12"/>
      <c r="X2204" s="12"/>
      <c r="Y2204" s="12"/>
      <c r="Z2204" s="12"/>
      <c r="AA2204" s="12"/>
      <c r="AB2204" s="12"/>
      <c r="AC2204" s="12"/>
      <c r="AD2204" s="12"/>
      <c r="AE2204" s="12"/>
      <c r="AF2204" s="12"/>
      <c r="AG2204" s="12"/>
      <c r="AH2204" s="12"/>
      <c r="AI2204" s="12"/>
      <c r="AJ2204" s="12"/>
      <c r="AK2204" s="12"/>
      <c r="AL2204" s="12"/>
      <c r="AM2204" s="12"/>
      <c r="AN2204" s="12"/>
      <c r="AO2204" s="12"/>
      <c r="AP2204" s="12"/>
      <c r="AQ2204" s="12"/>
      <c r="AR2204" s="12"/>
      <c r="AS2204" s="12"/>
      <c r="AT2204" s="12"/>
      <c r="AU2204" s="12"/>
      <c r="AV2204" s="12"/>
    </row>
    <row r="2205">
      <c r="S2205" s="12"/>
      <c r="T2205" s="12"/>
      <c r="U2205" s="12"/>
      <c r="V2205" s="12"/>
      <c r="W2205" s="12"/>
      <c r="X2205" s="12"/>
      <c r="Y2205" s="12"/>
      <c r="Z2205" s="12"/>
      <c r="AA2205" s="12"/>
      <c r="AB2205" s="12"/>
      <c r="AC2205" s="12"/>
      <c r="AD2205" s="12"/>
      <c r="AE2205" s="12"/>
      <c r="AF2205" s="12"/>
      <c r="AG2205" s="12"/>
      <c r="AH2205" s="12"/>
      <c r="AI2205" s="12"/>
      <c r="AJ2205" s="12"/>
      <c r="AK2205" s="12"/>
      <c r="AL2205" s="12"/>
      <c r="AM2205" s="12"/>
      <c r="AN2205" s="12"/>
      <c r="AO2205" s="12"/>
      <c r="AP2205" s="12"/>
      <c r="AQ2205" s="12"/>
      <c r="AR2205" s="12"/>
      <c r="AS2205" s="12"/>
      <c r="AT2205" s="12"/>
      <c r="AU2205" s="12"/>
      <c r="AV2205" s="12"/>
    </row>
    <row r="2206">
      <c r="S2206" s="12"/>
      <c r="T2206" s="12"/>
      <c r="U2206" s="12"/>
      <c r="V2206" s="12"/>
      <c r="W2206" s="12"/>
      <c r="X2206" s="12"/>
      <c r="Y2206" s="12"/>
      <c r="Z2206" s="12"/>
      <c r="AA2206" s="12"/>
      <c r="AB2206" s="12"/>
      <c r="AC2206" s="12"/>
      <c r="AD2206" s="12"/>
      <c r="AE2206" s="12"/>
      <c r="AF2206" s="12"/>
      <c r="AG2206" s="12"/>
      <c r="AH2206" s="12"/>
      <c r="AI2206" s="12"/>
      <c r="AJ2206" s="12"/>
      <c r="AK2206" s="12"/>
      <c r="AL2206" s="12"/>
      <c r="AM2206" s="12"/>
      <c r="AN2206" s="12"/>
      <c r="AO2206" s="12"/>
      <c r="AP2206" s="12"/>
      <c r="AQ2206" s="12"/>
      <c r="AR2206" s="12"/>
      <c r="AS2206" s="12"/>
      <c r="AT2206" s="12"/>
      <c r="AU2206" s="12"/>
      <c r="AV2206" s="12"/>
    </row>
    <row r="2207">
      <c r="S2207" s="12"/>
      <c r="T2207" s="12"/>
      <c r="U2207" s="12"/>
      <c r="V2207" s="12"/>
      <c r="W2207" s="12"/>
      <c r="X2207" s="12"/>
      <c r="Y2207" s="12"/>
      <c r="Z2207" s="12"/>
      <c r="AA2207" s="12"/>
      <c r="AB2207" s="12"/>
      <c r="AC2207" s="12"/>
      <c r="AD2207" s="12"/>
      <c r="AE2207" s="12"/>
      <c r="AF2207" s="12"/>
      <c r="AG2207" s="12"/>
      <c r="AH2207" s="12"/>
      <c r="AI2207" s="12"/>
      <c r="AJ2207" s="12"/>
      <c r="AK2207" s="12"/>
      <c r="AL2207" s="12"/>
      <c r="AM2207" s="12"/>
      <c r="AN2207" s="12"/>
      <c r="AO2207" s="12"/>
      <c r="AP2207" s="12"/>
      <c r="AQ2207" s="12"/>
      <c r="AR2207" s="12"/>
      <c r="AS2207" s="12"/>
      <c r="AT2207" s="12"/>
      <c r="AU2207" s="12"/>
      <c r="AV2207" s="12"/>
    </row>
    <row r="2208">
      <c r="S2208" s="12"/>
      <c r="T2208" s="12"/>
      <c r="U2208" s="12"/>
      <c r="V2208" s="12"/>
      <c r="W2208" s="12"/>
      <c r="X2208" s="12"/>
      <c r="Y2208" s="12"/>
      <c r="Z2208" s="12"/>
      <c r="AA2208" s="12"/>
      <c r="AB2208" s="12"/>
      <c r="AC2208" s="12"/>
      <c r="AD2208" s="12"/>
      <c r="AE2208" s="12"/>
      <c r="AF2208" s="12"/>
      <c r="AG2208" s="12"/>
      <c r="AH2208" s="12"/>
      <c r="AI2208" s="12"/>
      <c r="AJ2208" s="12"/>
      <c r="AK2208" s="12"/>
      <c r="AL2208" s="12"/>
      <c r="AM2208" s="12"/>
      <c r="AN2208" s="12"/>
      <c r="AO2208" s="12"/>
      <c r="AP2208" s="12"/>
      <c r="AQ2208" s="12"/>
      <c r="AR2208" s="12"/>
      <c r="AS2208" s="12"/>
      <c r="AT2208" s="12"/>
      <c r="AU2208" s="12"/>
      <c r="AV2208" s="12"/>
    </row>
    <row r="2209">
      <c r="S2209" s="12"/>
      <c r="T2209" s="12"/>
      <c r="U2209" s="12"/>
      <c r="V2209" s="12"/>
      <c r="W2209" s="12"/>
      <c r="X2209" s="12"/>
      <c r="Y2209" s="12"/>
      <c r="Z2209" s="12"/>
      <c r="AA2209" s="12"/>
      <c r="AB2209" s="12"/>
      <c r="AC2209" s="12"/>
      <c r="AD2209" s="12"/>
      <c r="AE2209" s="12"/>
      <c r="AF2209" s="12"/>
      <c r="AG2209" s="12"/>
      <c r="AH2209" s="12"/>
      <c r="AI2209" s="12"/>
      <c r="AJ2209" s="12"/>
      <c r="AK2209" s="12"/>
      <c r="AL2209" s="12"/>
      <c r="AM2209" s="12"/>
      <c r="AN2209" s="12"/>
      <c r="AO2209" s="12"/>
      <c r="AP2209" s="12"/>
      <c r="AQ2209" s="12"/>
      <c r="AR2209" s="12"/>
      <c r="AS2209" s="12"/>
      <c r="AT2209" s="12"/>
      <c r="AU2209" s="12"/>
      <c r="AV2209" s="12"/>
    </row>
    <row r="2210">
      <c r="S2210" s="12"/>
      <c r="T2210" s="12"/>
      <c r="U2210" s="12"/>
      <c r="V2210" s="12"/>
      <c r="W2210" s="12"/>
      <c r="X2210" s="12"/>
      <c r="Y2210" s="12"/>
      <c r="Z2210" s="12"/>
      <c r="AA2210" s="12"/>
      <c r="AB2210" s="12"/>
      <c r="AC2210" s="12"/>
      <c r="AD2210" s="12"/>
      <c r="AE2210" s="12"/>
      <c r="AF2210" s="12"/>
      <c r="AG2210" s="12"/>
      <c r="AH2210" s="12"/>
      <c r="AI2210" s="12"/>
      <c r="AJ2210" s="12"/>
      <c r="AK2210" s="12"/>
      <c r="AL2210" s="12"/>
      <c r="AM2210" s="12"/>
      <c r="AN2210" s="12"/>
      <c r="AO2210" s="12"/>
      <c r="AP2210" s="12"/>
      <c r="AQ2210" s="12"/>
      <c r="AR2210" s="12"/>
      <c r="AS2210" s="12"/>
      <c r="AT2210" s="12"/>
      <c r="AU2210" s="12"/>
      <c r="AV2210" s="12"/>
    </row>
    <row r="2211">
      <c r="S2211" s="12"/>
      <c r="T2211" s="12"/>
      <c r="U2211" s="12"/>
      <c r="V2211" s="12"/>
      <c r="W2211" s="12"/>
      <c r="X2211" s="12"/>
      <c r="Y2211" s="12"/>
      <c r="Z2211" s="12"/>
      <c r="AA2211" s="12"/>
      <c r="AB2211" s="12"/>
      <c r="AC2211" s="12"/>
      <c r="AD2211" s="12"/>
      <c r="AE2211" s="12"/>
      <c r="AF2211" s="12"/>
      <c r="AG2211" s="12"/>
      <c r="AH2211" s="12"/>
      <c r="AI2211" s="12"/>
      <c r="AJ2211" s="12"/>
      <c r="AK2211" s="12"/>
      <c r="AL2211" s="12"/>
      <c r="AM2211" s="12"/>
      <c r="AN2211" s="12"/>
      <c r="AO2211" s="12"/>
      <c r="AP2211" s="12"/>
      <c r="AQ2211" s="12"/>
      <c r="AR2211" s="12"/>
      <c r="AS2211" s="12"/>
      <c r="AT2211" s="12"/>
      <c r="AU2211" s="12"/>
      <c r="AV2211" s="12"/>
    </row>
    <row r="2212">
      <c r="S2212" s="12"/>
      <c r="T2212" s="12"/>
      <c r="U2212" s="12"/>
      <c r="V2212" s="12"/>
      <c r="W2212" s="12"/>
      <c r="X2212" s="12"/>
      <c r="Y2212" s="12"/>
      <c r="Z2212" s="12"/>
      <c r="AA2212" s="12"/>
      <c r="AB2212" s="12"/>
      <c r="AC2212" s="12"/>
      <c r="AD2212" s="12"/>
      <c r="AE2212" s="12"/>
      <c r="AF2212" s="12"/>
      <c r="AG2212" s="12"/>
      <c r="AH2212" s="12"/>
      <c r="AI2212" s="12"/>
      <c r="AJ2212" s="12"/>
      <c r="AK2212" s="12"/>
      <c r="AL2212" s="12"/>
      <c r="AM2212" s="12"/>
      <c r="AN2212" s="12"/>
      <c r="AO2212" s="12"/>
      <c r="AP2212" s="12"/>
      <c r="AQ2212" s="12"/>
      <c r="AR2212" s="12"/>
      <c r="AS2212" s="12"/>
      <c r="AT2212" s="12"/>
      <c r="AU2212" s="12"/>
      <c r="AV2212" s="12"/>
    </row>
    <row r="2213">
      <c r="S2213" s="12"/>
      <c r="T2213" s="12"/>
      <c r="U2213" s="12"/>
      <c r="V2213" s="12"/>
      <c r="W2213" s="12"/>
      <c r="X2213" s="12"/>
      <c r="Y2213" s="12"/>
      <c r="Z2213" s="12"/>
      <c r="AA2213" s="12"/>
      <c r="AB2213" s="12"/>
      <c r="AC2213" s="12"/>
      <c r="AD2213" s="12"/>
      <c r="AE2213" s="12"/>
      <c r="AF2213" s="12"/>
      <c r="AG2213" s="12"/>
      <c r="AH2213" s="12"/>
      <c r="AI2213" s="12"/>
      <c r="AJ2213" s="12"/>
      <c r="AK2213" s="12"/>
      <c r="AL2213" s="12"/>
      <c r="AM2213" s="12"/>
      <c r="AN2213" s="12"/>
      <c r="AO2213" s="12"/>
      <c r="AP2213" s="12"/>
      <c r="AQ2213" s="12"/>
      <c r="AR2213" s="12"/>
      <c r="AS2213" s="12"/>
      <c r="AT2213" s="12"/>
      <c r="AU2213" s="12"/>
      <c r="AV2213" s="12"/>
    </row>
    <row r="2214">
      <c r="S2214" s="12"/>
      <c r="T2214" s="12"/>
      <c r="U2214" s="12"/>
      <c r="V2214" s="12"/>
      <c r="W2214" s="12"/>
      <c r="X2214" s="12"/>
      <c r="Y2214" s="12"/>
      <c r="Z2214" s="12"/>
      <c r="AA2214" s="12"/>
      <c r="AB2214" s="12"/>
      <c r="AC2214" s="12"/>
      <c r="AD2214" s="12"/>
      <c r="AE2214" s="12"/>
      <c r="AF2214" s="12"/>
      <c r="AG2214" s="12"/>
      <c r="AH2214" s="12"/>
      <c r="AI2214" s="12"/>
      <c r="AJ2214" s="12"/>
      <c r="AK2214" s="12"/>
      <c r="AL2214" s="12"/>
      <c r="AM2214" s="12"/>
      <c r="AN2214" s="12"/>
      <c r="AO2214" s="12"/>
      <c r="AP2214" s="12"/>
      <c r="AQ2214" s="12"/>
      <c r="AR2214" s="12"/>
      <c r="AS2214" s="12"/>
      <c r="AT2214" s="12"/>
      <c r="AU2214" s="12"/>
      <c r="AV2214" s="12"/>
    </row>
    <row r="2215">
      <c r="S2215" s="12"/>
      <c r="T2215" s="12"/>
      <c r="U2215" s="12"/>
      <c r="V2215" s="12"/>
      <c r="W2215" s="12"/>
      <c r="X2215" s="12"/>
      <c r="Y2215" s="12"/>
      <c r="Z2215" s="12"/>
      <c r="AA2215" s="12"/>
      <c r="AB2215" s="12"/>
      <c r="AC2215" s="12"/>
      <c r="AD2215" s="12"/>
      <c r="AE2215" s="12"/>
      <c r="AF2215" s="12"/>
      <c r="AG2215" s="12"/>
      <c r="AH2215" s="12"/>
      <c r="AI2215" s="12"/>
      <c r="AJ2215" s="12"/>
      <c r="AK2215" s="12"/>
      <c r="AL2215" s="12"/>
      <c r="AM2215" s="12"/>
      <c r="AN2215" s="12"/>
      <c r="AO2215" s="12"/>
      <c r="AP2215" s="12"/>
      <c r="AQ2215" s="12"/>
      <c r="AR2215" s="12"/>
      <c r="AS2215" s="12"/>
      <c r="AT2215" s="12"/>
      <c r="AU2215" s="12"/>
      <c r="AV2215" s="12"/>
    </row>
    <row r="2216">
      <c r="S2216" s="12"/>
      <c r="T2216" s="12"/>
      <c r="U2216" s="12"/>
      <c r="V2216" s="12"/>
      <c r="W2216" s="12"/>
      <c r="X2216" s="12"/>
      <c r="Y2216" s="12"/>
      <c r="Z2216" s="12"/>
      <c r="AA2216" s="12"/>
      <c r="AB2216" s="12"/>
      <c r="AC2216" s="12"/>
      <c r="AD2216" s="12"/>
      <c r="AE2216" s="12"/>
      <c r="AF2216" s="12"/>
      <c r="AG2216" s="12"/>
      <c r="AH2216" s="12"/>
      <c r="AI2216" s="12"/>
      <c r="AJ2216" s="12"/>
      <c r="AK2216" s="12"/>
      <c r="AL2216" s="12"/>
      <c r="AM2216" s="12"/>
      <c r="AN2216" s="12"/>
      <c r="AO2216" s="12"/>
      <c r="AP2216" s="12"/>
      <c r="AQ2216" s="12"/>
      <c r="AR2216" s="12"/>
      <c r="AS2216" s="12"/>
      <c r="AT2216" s="12"/>
      <c r="AU2216" s="12"/>
      <c r="AV2216" s="12"/>
    </row>
    <row r="2217">
      <c r="S2217" s="12"/>
      <c r="T2217" s="12"/>
      <c r="U2217" s="12"/>
      <c r="V2217" s="12"/>
      <c r="W2217" s="12"/>
      <c r="X2217" s="12"/>
      <c r="Y2217" s="12"/>
      <c r="Z2217" s="12"/>
      <c r="AA2217" s="12"/>
      <c r="AB2217" s="12"/>
      <c r="AC2217" s="12"/>
      <c r="AD2217" s="12"/>
      <c r="AE2217" s="12"/>
      <c r="AF2217" s="12"/>
      <c r="AG2217" s="12"/>
      <c r="AH2217" s="12"/>
      <c r="AI2217" s="12"/>
      <c r="AJ2217" s="12"/>
      <c r="AK2217" s="12"/>
      <c r="AL2217" s="12"/>
      <c r="AM2217" s="12"/>
      <c r="AN2217" s="12"/>
      <c r="AO2217" s="12"/>
      <c r="AP2217" s="12"/>
      <c r="AQ2217" s="12"/>
      <c r="AR2217" s="12"/>
      <c r="AS2217" s="12"/>
      <c r="AT2217" s="12"/>
      <c r="AU2217" s="12"/>
      <c r="AV2217" s="12"/>
    </row>
    <row r="2218">
      <c r="S2218" s="12"/>
      <c r="T2218" s="12"/>
      <c r="U2218" s="12"/>
      <c r="V2218" s="12"/>
      <c r="W2218" s="12"/>
      <c r="X2218" s="12"/>
      <c r="Y2218" s="12"/>
      <c r="Z2218" s="12"/>
      <c r="AA2218" s="12"/>
      <c r="AB2218" s="12"/>
      <c r="AC2218" s="12"/>
      <c r="AD2218" s="12"/>
      <c r="AE2218" s="12"/>
      <c r="AF2218" s="12"/>
      <c r="AG2218" s="12"/>
      <c r="AH2218" s="12"/>
      <c r="AI2218" s="12"/>
      <c r="AJ2218" s="12"/>
      <c r="AK2218" s="12"/>
      <c r="AL2218" s="12"/>
      <c r="AM2218" s="12"/>
      <c r="AN2218" s="12"/>
      <c r="AO2218" s="12"/>
      <c r="AP2218" s="12"/>
      <c r="AQ2218" s="12"/>
      <c r="AR2218" s="12"/>
      <c r="AS2218" s="12"/>
      <c r="AT2218" s="12"/>
      <c r="AU2218" s="12"/>
      <c r="AV2218" s="12"/>
    </row>
    <row r="2219">
      <c r="S2219" s="12"/>
      <c r="T2219" s="12"/>
      <c r="U2219" s="12"/>
      <c r="V2219" s="12"/>
      <c r="W2219" s="12"/>
      <c r="X2219" s="12"/>
      <c r="Y2219" s="12"/>
      <c r="Z2219" s="12"/>
      <c r="AA2219" s="12"/>
      <c r="AB2219" s="12"/>
      <c r="AC2219" s="12"/>
      <c r="AD2219" s="12"/>
      <c r="AE2219" s="12"/>
      <c r="AF2219" s="12"/>
      <c r="AG2219" s="12"/>
      <c r="AH2219" s="12"/>
      <c r="AI2219" s="12"/>
      <c r="AJ2219" s="12"/>
      <c r="AK2219" s="12"/>
      <c r="AL2219" s="12"/>
      <c r="AM2219" s="12"/>
      <c r="AN2219" s="12"/>
      <c r="AO2219" s="12"/>
      <c r="AP2219" s="12"/>
      <c r="AQ2219" s="12"/>
      <c r="AR2219" s="12"/>
      <c r="AS2219" s="12"/>
      <c r="AT2219" s="12"/>
      <c r="AU2219" s="12"/>
      <c r="AV2219" s="12"/>
    </row>
    <row r="2220">
      <c r="S2220" s="12"/>
      <c r="T2220" s="12"/>
      <c r="U2220" s="12"/>
      <c r="V2220" s="12"/>
      <c r="W2220" s="12"/>
      <c r="X2220" s="12"/>
      <c r="Y2220" s="12"/>
      <c r="Z2220" s="12"/>
      <c r="AA2220" s="12"/>
      <c r="AB2220" s="12"/>
      <c r="AC2220" s="12"/>
      <c r="AD2220" s="12"/>
      <c r="AE2220" s="12"/>
      <c r="AF2220" s="12"/>
      <c r="AG2220" s="12"/>
      <c r="AH2220" s="12"/>
      <c r="AI2220" s="12"/>
      <c r="AJ2220" s="12"/>
      <c r="AK2220" s="12"/>
      <c r="AL2220" s="12"/>
      <c r="AM2220" s="12"/>
      <c r="AN2220" s="12"/>
      <c r="AO2220" s="12"/>
      <c r="AP2220" s="12"/>
      <c r="AQ2220" s="12"/>
      <c r="AR2220" s="12"/>
      <c r="AS2220" s="12"/>
      <c r="AT2220" s="12"/>
      <c r="AU2220" s="12"/>
      <c r="AV2220" s="12"/>
    </row>
    <row r="2221">
      <c r="S2221" s="12"/>
      <c r="T2221" s="12"/>
      <c r="U2221" s="12"/>
      <c r="V2221" s="12"/>
      <c r="W2221" s="12"/>
      <c r="X2221" s="12"/>
      <c r="Y2221" s="12"/>
      <c r="Z2221" s="12"/>
      <c r="AA2221" s="12"/>
      <c r="AB2221" s="12"/>
      <c r="AC2221" s="12"/>
      <c r="AD2221" s="12"/>
      <c r="AE2221" s="12"/>
      <c r="AF2221" s="12"/>
      <c r="AG2221" s="12"/>
      <c r="AH2221" s="12"/>
      <c r="AI2221" s="12"/>
      <c r="AJ2221" s="12"/>
      <c r="AK2221" s="12"/>
      <c r="AL2221" s="12"/>
      <c r="AM2221" s="12"/>
      <c r="AN2221" s="12"/>
      <c r="AO2221" s="12"/>
      <c r="AP2221" s="12"/>
      <c r="AQ2221" s="12"/>
      <c r="AR2221" s="12"/>
      <c r="AS2221" s="12"/>
      <c r="AT2221" s="12"/>
      <c r="AU2221" s="12"/>
      <c r="AV2221" s="12"/>
    </row>
    <row r="2222">
      <c r="S2222" s="12"/>
      <c r="T2222" s="12"/>
      <c r="U2222" s="12"/>
      <c r="V2222" s="12"/>
      <c r="W2222" s="12"/>
      <c r="X2222" s="12"/>
      <c r="Y2222" s="12"/>
      <c r="Z2222" s="12"/>
      <c r="AA2222" s="12"/>
      <c r="AB2222" s="12"/>
      <c r="AC2222" s="12"/>
      <c r="AD2222" s="12"/>
      <c r="AE2222" s="12"/>
      <c r="AF2222" s="12"/>
      <c r="AG2222" s="12"/>
      <c r="AH2222" s="12"/>
      <c r="AI2222" s="12"/>
      <c r="AJ2222" s="12"/>
      <c r="AK2222" s="12"/>
      <c r="AL2222" s="12"/>
      <c r="AM2222" s="12"/>
      <c r="AN2222" s="12"/>
      <c r="AO2222" s="12"/>
      <c r="AP2222" s="12"/>
      <c r="AQ2222" s="12"/>
      <c r="AR2222" s="12"/>
      <c r="AS2222" s="12"/>
      <c r="AT2222" s="12"/>
      <c r="AU2222" s="12"/>
      <c r="AV2222" s="12"/>
    </row>
    <row r="2223">
      <c r="S2223" s="12"/>
      <c r="T2223" s="12"/>
      <c r="U2223" s="12"/>
      <c r="V2223" s="12"/>
      <c r="W2223" s="12"/>
      <c r="X2223" s="12"/>
      <c r="Y2223" s="12"/>
      <c r="Z2223" s="12"/>
      <c r="AA2223" s="12"/>
      <c r="AB2223" s="12"/>
      <c r="AC2223" s="12"/>
      <c r="AD2223" s="12"/>
      <c r="AE2223" s="12"/>
      <c r="AF2223" s="12"/>
      <c r="AG2223" s="12"/>
      <c r="AH2223" s="12"/>
      <c r="AI2223" s="12"/>
      <c r="AJ2223" s="12"/>
      <c r="AK2223" s="12"/>
      <c r="AL2223" s="12"/>
      <c r="AM2223" s="12"/>
      <c r="AN2223" s="12"/>
      <c r="AO2223" s="12"/>
      <c r="AP2223" s="12"/>
      <c r="AQ2223" s="12"/>
      <c r="AR2223" s="12"/>
      <c r="AS2223" s="12"/>
      <c r="AT2223" s="12"/>
      <c r="AU2223" s="12"/>
      <c r="AV2223" s="12"/>
    </row>
    <row r="2224">
      <c r="S2224" s="12"/>
      <c r="T2224" s="12"/>
      <c r="U2224" s="12"/>
      <c r="V2224" s="12"/>
      <c r="W2224" s="12"/>
      <c r="X2224" s="12"/>
      <c r="Y2224" s="12"/>
      <c r="Z2224" s="12"/>
      <c r="AA2224" s="12"/>
      <c r="AB2224" s="12"/>
      <c r="AC2224" s="12"/>
      <c r="AD2224" s="12"/>
      <c r="AE2224" s="12"/>
      <c r="AF2224" s="12"/>
      <c r="AG2224" s="12"/>
      <c r="AH2224" s="12"/>
      <c r="AI2224" s="12"/>
      <c r="AJ2224" s="12"/>
      <c r="AK2224" s="12"/>
      <c r="AL2224" s="12"/>
      <c r="AM2224" s="12"/>
      <c r="AN2224" s="12"/>
      <c r="AO2224" s="12"/>
      <c r="AP2224" s="12"/>
      <c r="AQ2224" s="12"/>
      <c r="AR2224" s="12"/>
      <c r="AS2224" s="12"/>
      <c r="AT2224" s="12"/>
      <c r="AU2224" s="12"/>
      <c r="AV2224" s="12"/>
    </row>
    <row r="2225">
      <c r="S2225" s="12"/>
      <c r="T2225" s="12"/>
      <c r="U2225" s="12"/>
      <c r="V2225" s="12"/>
      <c r="W2225" s="12"/>
      <c r="X2225" s="12"/>
      <c r="Y2225" s="12"/>
      <c r="Z2225" s="12"/>
      <c r="AA2225" s="12"/>
      <c r="AB2225" s="12"/>
      <c r="AC2225" s="12"/>
      <c r="AD2225" s="12"/>
      <c r="AE2225" s="12"/>
      <c r="AF2225" s="12"/>
      <c r="AG2225" s="12"/>
      <c r="AH2225" s="12"/>
      <c r="AI2225" s="12"/>
      <c r="AJ2225" s="12"/>
      <c r="AK2225" s="12"/>
      <c r="AL2225" s="12"/>
      <c r="AM2225" s="12"/>
      <c r="AN2225" s="12"/>
      <c r="AO2225" s="12"/>
      <c r="AP2225" s="12"/>
      <c r="AQ2225" s="12"/>
      <c r="AR2225" s="12"/>
      <c r="AS2225" s="12"/>
      <c r="AT2225" s="12"/>
      <c r="AU2225" s="12"/>
      <c r="AV2225" s="12"/>
    </row>
    <row r="2226">
      <c r="S2226" s="12"/>
      <c r="T2226" s="12"/>
      <c r="U2226" s="12"/>
      <c r="V2226" s="12"/>
      <c r="W2226" s="12"/>
      <c r="X2226" s="12"/>
      <c r="Y2226" s="12"/>
      <c r="Z2226" s="12"/>
      <c r="AA2226" s="12"/>
      <c r="AB2226" s="12"/>
      <c r="AC2226" s="12"/>
      <c r="AD2226" s="12"/>
      <c r="AE2226" s="12"/>
      <c r="AF2226" s="12"/>
      <c r="AG2226" s="12"/>
      <c r="AH2226" s="12"/>
      <c r="AI2226" s="12"/>
      <c r="AJ2226" s="12"/>
      <c r="AK2226" s="12"/>
      <c r="AL2226" s="12"/>
      <c r="AM2226" s="12"/>
      <c r="AN2226" s="12"/>
      <c r="AO2226" s="12"/>
      <c r="AP2226" s="12"/>
      <c r="AQ2226" s="12"/>
      <c r="AR2226" s="12"/>
      <c r="AS2226" s="12"/>
      <c r="AT2226" s="12"/>
      <c r="AU2226" s="12"/>
      <c r="AV2226" s="12"/>
    </row>
    <row r="2227">
      <c r="S2227" s="12"/>
      <c r="T2227" s="12"/>
      <c r="U2227" s="12"/>
      <c r="V2227" s="12"/>
      <c r="W2227" s="12"/>
      <c r="X2227" s="12"/>
      <c r="Y2227" s="12"/>
      <c r="Z2227" s="12"/>
      <c r="AA2227" s="12"/>
      <c r="AB2227" s="12"/>
      <c r="AC2227" s="12"/>
      <c r="AD2227" s="12"/>
      <c r="AE2227" s="12"/>
      <c r="AF2227" s="12"/>
      <c r="AG2227" s="12"/>
      <c r="AH2227" s="12"/>
      <c r="AI2227" s="12"/>
      <c r="AJ2227" s="12"/>
      <c r="AK2227" s="12"/>
      <c r="AL2227" s="12"/>
      <c r="AM2227" s="12"/>
      <c r="AN2227" s="12"/>
      <c r="AO2227" s="12"/>
      <c r="AP2227" s="12"/>
      <c r="AQ2227" s="12"/>
      <c r="AR2227" s="12"/>
      <c r="AS2227" s="12"/>
      <c r="AT2227" s="12"/>
      <c r="AU2227" s="12"/>
      <c r="AV2227" s="12"/>
    </row>
    <row r="2228">
      <c r="S2228" s="12"/>
      <c r="T2228" s="12"/>
      <c r="U2228" s="12"/>
      <c r="V2228" s="12"/>
      <c r="W2228" s="12"/>
      <c r="X2228" s="12"/>
      <c r="Y2228" s="12"/>
      <c r="Z2228" s="12"/>
      <c r="AA2228" s="12"/>
      <c r="AB2228" s="12"/>
      <c r="AC2228" s="12"/>
      <c r="AD2228" s="12"/>
      <c r="AE2228" s="12"/>
      <c r="AF2228" s="12"/>
      <c r="AG2228" s="12"/>
      <c r="AH2228" s="12"/>
      <c r="AI2228" s="12"/>
      <c r="AJ2228" s="12"/>
      <c r="AK2228" s="12"/>
      <c r="AL2228" s="12"/>
      <c r="AM2228" s="12"/>
      <c r="AN2228" s="12"/>
      <c r="AO2228" s="12"/>
      <c r="AP2228" s="12"/>
      <c r="AQ2228" s="12"/>
      <c r="AR2228" s="12"/>
      <c r="AS2228" s="12"/>
      <c r="AT2228" s="12"/>
      <c r="AU2228" s="12"/>
      <c r="AV2228" s="12"/>
    </row>
    <row r="2229">
      <c r="S2229" s="12"/>
      <c r="T2229" s="12"/>
      <c r="U2229" s="12"/>
      <c r="V2229" s="12"/>
      <c r="W2229" s="12"/>
      <c r="X2229" s="12"/>
      <c r="Y2229" s="12"/>
      <c r="Z2229" s="12"/>
      <c r="AA2229" s="12"/>
      <c r="AB2229" s="12"/>
      <c r="AC2229" s="12"/>
      <c r="AD2229" s="12"/>
      <c r="AE2229" s="12"/>
      <c r="AF2229" s="12"/>
      <c r="AG2229" s="12"/>
      <c r="AH2229" s="12"/>
      <c r="AI2229" s="12"/>
      <c r="AJ2229" s="12"/>
      <c r="AK2229" s="12"/>
      <c r="AL2229" s="12"/>
      <c r="AM2229" s="12"/>
      <c r="AN2229" s="12"/>
      <c r="AO2229" s="12"/>
      <c r="AP2229" s="12"/>
      <c r="AQ2229" s="12"/>
      <c r="AR2229" s="12"/>
      <c r="AS2229" s="12"/>
      <c r="AT2229" s="12"/>
      <c r="AU2229" s="12"/>
      <c r="AV2229" s="12"/>
    </row>
    <row r="2230">
      <c r="S2230" s="12"/>
      <c r="T2230" s="12"/>
      <c r="U2230" s="12"/>
      <c r="V2230" s="12"/>
      <c r="W2230" s="12"/>
      <c r="X2230" s="12"/>
      <c r="Y2230" s="12"/>
      <c r="Z2230" s="12"/>
      <c r="AA2230" s="12"/>
      <c r="AB2230" s="12"/>
      <c r="AC2230" s="12"/>
      <c r="AD2230" s="12"/>
      <c r="AE2230" s="12"/>
      <c r="AF2230" s="12"/>
      <c r="AG2230" s="12"/>
      <c r="AH2230" s="12"/>
      <c r="AI2230" s="12"/>
      <c r="AJ2230" s="12"/>
      <c r="AK2230" s="12"/>
      <c r="AL2230" s="12"/>
      <c r="AM2230" s="12"/>
      <c r="AN2230" s="12"/>
      <c r="AO2230" s="12"/>
      <c r="AP2230" s="12"/>
      <c r="AQ2230" s="12"/>
      <c r="AR2230" s="12"/>
      <c r="AS2230" s="12"/>
      <c r="AT2230" s="12"/>
      <c r="AU2230" s="12"/>
      <c r="AV223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38"/>
    <col customWidth="1" min="4" max="4" width="24.25"/>
    <col customWidth="1" min="7" max="7" width="34.63"/>
  </cols>
  <sheetData>
    <row r="1">
      <c r="A1" s="4" t="s">
        <v>2083</v>
      </c>
      <c r="B1" s="4" t="s">
        <v>2084</v>
      </c>
      <c r="C1" s="15" t="s">
        <v>2085</v>
      </c>
      <c r="D1" s="15" t="s">
        <v>2086</v>
      </c>
      <c r="F1" s="3" t="s">
        <v>2087</v>
      </c>
      <c r="G1" s="3" t="s">
        <v>2088</v>
      </c>
      <c r="H1" s="3" t="s">
        <v>1123</v>
      </c>
      <c r="I1" s="3" t="s">
        <v>1124</v>
      </c>
      <c r="J1" s="3" t="s">
        <v>1125</v>
      </c>
      <c r="K1" s="3" t="s">
        <v>1126</v>
      </c>
      <c r="L1" s="3" t="s">
        <v>1127</v>
      </c>
      <c r="M1" s="3" t="s">
        <v>1128</v>
      </c>
      <c r="N1" s="3" t="s">
        <v>2089</v>
      </c>
      <c r="O1" s="3" t="s">
        <v>2090</v>
      </c>
      <c r="P1" s="3" t="s">
        <v>2091</v>
      </c>
      <c r="Q1" s="3" t="s">
        <v>2092</v>
      </c>
      <c r="R1" s="3" t="s">
        <v>2093</v>
      </c>
      <c r="S1" s="3" t="s">
        <v>2094</v>
      </c>
      <c r="T1" s="3" t="s">
        <v>2095</v>
      </c>
      <c r="U1" s="3" t="s">
        <v>2096</v>
      </c>
      <c r="V1" s="3" t="s">
        <v>2097</v>
      </c>
      <c r="W1" s="3" t="s">
        <v>2098</v>
      </c>
    </row>
    <row r="2">
      <c r="A2" s="9">
        <f t="array" ref="A2:B257">{ 
  SEQUENCE(256, 1, 0), 
  "FV2[" &amp; MOD(SEQUENCE(256, 1, 0), 16) &amp; "]" &amp;
  "[" &amp; QUOTIENT(MOD(SEQUENCE(256, 1, 0), 64), 16) &amp; "]" &amp;
  "[" &amp; QUOTIENT(SEQUENCE(256, 1, 0), 64) &amp; "]"
}</f>
        <v>0</v>
      </c>
      <c r="B2" s="9" t="s">
        <v>2099</v>
      </c>
      <c r="C2" s="9">
        <f t="shared" ref="C2:C257" si="1">ROUNDDOWN(A2/16,0)+1</f>
        <v>1</v>
      </c>
      <c r="D2" s="9">
        <f t="shared" ref="D2:D257" si="2">MOD(A2,16)+1</f>
        <v>1</v>
      </c>
      <c r="F2" s="8">
        <v>1.0</v>
      </c>
      <c r="G2" s="8">
        <v>1.0</v>
      </c>
      <c r="H2" s="9" t="str">
        <f t="array" ref="H2:W17">"FV2[" &amp; COLUMN(H1:W1)-COLUMN(H1) &amp; "][" &amp; QUOTIENT(SEQUENCE(16, 1, 0), 4) &amp; "][" &amp; MOD(SEQUENCE(16, 1, 0), 4) &amp; "]"</f>
        <v>FV2[0][0][0]</v>
      </c>
      <c r="I2" s="9" t="s">
        <v>2100</v>
      </c>
      <c r="J2" s="9" t="s">
        <v>2101</v>
      </c>
      <c r="K2" s="9" t="s">
        <v>2102</v>
      </c>
      <c r="L2" s="9" t="s">
        <v>2103</v>
      </c>
      <c r="M2" s="9" t="s">
        <v>2104</v>
      </c>
      <c r="N2" s="9" t="s">
        <v>2105</v>
      </c>
      <c r="O2" s="9" t="s">
        <v>2106</v>
      </c>
      <c r="P2" s="9" t="s">
        <v>2107</v>
      </c>
      <c r="Q2" s="9" t="s">
        <v>2108</v>
      </c>
      <c r="R2" s="9" t="s">
        <v>2109</v>
      </c>
      <c r="S2" s="9" t="s">
        <v>2110</v>
      </c>
      <c r="T2" s="9" t="s">
        <v>2111</v>
      </c>
      <c r="U2" s="9" t="s">
        <v>2112</v>
      </c>
      <c r="V2" s="9" t="s">
        <v>2113</v>
      </c>
      <c r="W2" s="9" t="s">
        <v>2114</v>
      </c>
    </row>
    <row r="3">
      <c r="A3" s="9">
        <v>1.0</v>
      </c>
      <c r="B3" s="9" t="s">
        <v>2100</v>
      </c>
      <c r="C3" s="9">
        <f t="shared" si="1"/>
        <v>1</v>
      </c>
      <c r="D3" s="9">
        <f t="shared" si="2"/>
        <v>2</v>
      </c>
      <c r="F3" s="8">
        <v>2.0</v>
      </c>
      <c r="G3" s="8">
        <v>5.0</v>
      </c>
      <c r="H3" s="9" t="s">
        <v>2115</v>
      </c>
      <c r="I3" s="9" t="s">
        <v>2116</v>
      </c>
      <c r="J3" s="9" t="s">
        <v>2117</v>
      </c>
      <c r="K3" s="9" t="s">
        <v>2118</v>
      </c>
      <c r="L3" s="9" t="s">
        <v>2119</v>
      </c>
      <c r="M3" s="9" t="s">
        <v>2120</v>
      </c>
      <c r="N3" s="9" t="s">
        <v>2121</v>
      </c>
      <c r="O3" s="9" t="s">
        <v>2122</v>
      </c>
      <c r="P3" s="9" t="s">
        <v>2123</v>
      </c>
      <c r="Q3" s="9" t="s">
        <v>2124</v>
      </c>
      <c r="R3" s="9" t="s">
        <v>2125</v>
      </c>
      <c r="S3" s="9" t="s">
        <v>2126</v>
      </c>
      <c r="T3" s="9" t="s">
        <v>2127</v>
      </c>
      <c r="U3" s="9" t="s">
        <v>2128</v>
      </c>
      <c r="V3" s="9" t="s">
        <v>2129</v>
      </c>
      <c r="W3" s="9" t="s">
        <v>2130</v>
      </c>
    </row>
    <row r="4">
      <c r="A4" s="9">
        <v>2.0</v>
      </c>
      <c r="B4" s="9" t="s">
        <v>2101</v>
      </c>
      <c r="C4" s="9">
        <f t="shared" si="1"/>
        <v>1</v>
      </c>
      <c r="D4" s="9">
        <f t="shared" si="2"/>
        <v>3</v>
      </c>
      <c r="F4" s="8">
        <v>3.0</v>
      </c>
      <c r="G4" s="8">
        <v>9.0</v>
      </c>
      <c r="H4" s="9" t="s">
        <v>2131</v>
      </c>
      <c r="I4" s="9" t="s">
        <v>2132</v>
      </c>
      <c r="J4" s="9" t="s">
        <v>2133</v>
      </c>
      <c r="K4" s="9" t="s">
        <v>2134</v>
      </c>
      <c r="L4" s="9" t="s">
        <v>2135</v>
      </c>
      <c r="M4" s="9" t="s">
        <v>2136</v>
      </c>
      <c r="N4" s="9" t="s">
        <v>2137</v>
      </c>
      <c r="O4" s="9" t="s">
        <v>2138</v>
      </c>
      <c r="P4" s="9" t="s">
        <v>2139</v>
      </c>
      <c r="Q4" s="9" t="s">
        <v>2140</v>
      </c>
      <c r="R4" s="9" t="s">
        <v>2141</v>
      </c>
      <c r="S4" s="9" t="s">
        <v>2142</v>
      </c>
      <c r="T4" s="9" t="s">
        <v>2143</v>
      </c>
      <c r="U4" s="9" t="s">
        <v>2144</v>
      </c>
      <c r="V4" s="9" t="s">
        <v>2145</v>
      </c>
      <c r="W4" s="9" t="s">
        <v>2146</v>
      </c>
    </row>
    <row r="5">
      <c r="A5" s="9">
        <v>3.0</v>
      </c>
      <c r="B5" s="9" t="s">
        <v>2102</v>
      </c>
      <c r="C5" s="9">
        <f t="shared" si="1"/>
        <v>1</v>
      </c>
      <c r="D5" s="9">
        <f t="shared" si="2"/>
        <v>4</v>
      </c>
      <c r="F5" s="8">
        <v>4.0</v>
      </c>
      <c r="G5" s="8">
        <v>13.0</v>
      </c>
      <c r="H5" s="9" t="s">
        <v>2147</v>
      </c>
      <c r="I5" s="9" t="s">
        <v>2148</v>
      </c>
      <c r="J5" s="9" t="s">
        <v>2149</v>
      </c>
      <c r="K5" s="9" t="s">
        <v>2150</v>
      </c>
      <c r="L5" s="9" t="s">
        <v>2151</v>
      </c>
      <c r="M5" s="9" t="s">
        <v>2152</v>
      </c>
      <c r="N5" s="9" t="s">
        <v>2153</v>
      </c>
      <c r="O5" s="9" t="s">
        <v>2154</v>
      </c>
      <c r="P5" s="9" t="s">
        <v>2155</v>
      </c>
      <c r="Q5" s="9" t="s">
        <v>2156</v>
      </c>
      <c r="R5" s="9" t="s">
        <v>2157</v>
      </c>
      <c r="S5" s="9" t="s">
        <v>2158</v>
      </c>
      <c r="T5" s="9" t="s">
        <v>2159</v>
      </c>
      <c r="U5" s="9" t="s">
        <v>2160</v>
      </c>
      <c r="V5" s="9" t="s">
        <v>2161</v>
      </c>
      <c r="W5" s="9" t="s">
        <v>2162</v>
      </c>
    </row>
    <row r="6">
      <c r="A6" s="9">
        <v>4.0</v>
      </c>
      <c r="B6" s="9" t="s">
        <v>2103</v>
      </c>
      <c r="C6" s="9">
        <f t="shared" si="1"/>
        <v>1</v>
      </c>
      <c r="D6" s="9">
        <f t="shared" si="2"/>
        <v>5</v>
      </c>
      <c r="F6" s="8">
        <v>5.0</v>
      </c>
      <c r="G6" s="8">
        <v>2.0</v>
      </c>
      <c r="H6" s="9" t="s">
        <v>2163</v>
      </c>
      <c r="I6" s="9" t="s">
        <v>2164</v>
      </c>
      <c r="J6" s="9" t="s">
        <v>2165</v>
      </c>
      <c r="K6" s="9" t="s">
        <v>2166</v>
      </c>
      <c r="L6" s="9" t="s">
        <v>2167</v>
      </c>
      <c r="M6" s="9" t="s">
        <v>2168</v>
      </c>
      <c r="N6" s="9" t="s">
        <v>2169</v>
      </c>
      <c r="O6" s="9" t="s">
        <v>2170</v>
      </c>
      <c r="P6" s="9" t="s">
        <v>2171</v>
      </c>
      <c r="Q6" s="9" t="s">
        <v>2172</v>
      </c>
      <c r="R6" s="9" t="s">
        <v>2173</v>
      </c>
      <c r="S6" s="9" t="s">
        <v>2174</v>
      </c>
      <c r="T6" s="9" t="s">
        <v>2175</v>
      </c>
      <c r="U6" s="9" t="s">
        <v>2176</v>
      </c>
      <c r="V6" s="9" t="s">
        <v>2177</v>
      </c>
      <c r="W6" s="9" t="s">
        <v>2178</v>
      </c>
    </row>
    <row r="7">
      <c r="A7" s="9">
        <v>5.0</v>
      </c>
      <c r="B7" s="9" t="s">
        <v>2104</v>
      </c>
      <c r="C7" s="9">
        <f t="shared" si="1"/>
        <v>1</v>
      </c>
      <c r="D7" s="9">
        <f t="shared" si="2"/>
        <v>6</v>
      </c>
      <c r="F7" s="8">
        <v>6.0</v>
      </c>
      <c r="G7" s="8">
        <v>6.0</v>
      </c>
      <c r="H7" s="9" t="s">
        <v>2179</v>
      </c>
      <c r="I7" s="9" t="s">
        <v>2180</v>
      </c>
      <c r="J7" s="9" t="s">
        <v>2181</v>
      </c>
      <c r="K7" s="9" t="s">
        <v>2182</v>
      </c>
      <c r="L7" s="9" t="s">
        <v>2183</v>
      </c>
      <c r="M7" s="9" t="s">
        <v>2184</v>
      </c>
      <c r="N7" s="9" t="s">
        <v>2185</v>
      </c>
      <c r="O7" s="9" t="s">
        <v>2186</v>
      </c>
      <c r="P7" s="9" t="s">
        <v>2187</v>
      </c>
      <c r="Q7" s="9" t="s">
        <v>2188</v>
      </c>
      <c r="R7" s="9" t="s">
        <v>2189</v>
      </c>
      <c r="S7" s="9" t="s">
        <v>2190</v>
      </c>
      <c r="T7" s="9" t="s">
        <v>2191</v>
      </c>
      <c r="U7" s="9" t="s">
        <v>2192</v>
      </c>
      <c r="V7" s="9" t="s">
        <v>2193</v>
      </c>
      <c r="W7" s="9" t="s">
        <v>2194</v>
      </c>
    </row>
    <row r="8">
      <c r="A8" s="9">
        <v>6.0</v>
      </c>
      <c r="B8" s="9" t="s">
        <v>2105</v>
      </c>
      <c r="C8" s="9">
        <f t="shared" si="1"/>
        <v>1</v>
      </c>
      <c r="D8" s="9">
        <f t="shared" si="2"/>
        <v>7</v>
      </c>
      <c r="F8" s="8">
        <v>7.0</v>
      </c>
      <c r="G8" s="8">
        <v>10.0</v>
      </c>
      <c r="H8" s="9" t="s">
        <v>2195</v>
      </c>
      <c r="I8" s="9" t="s">
        <v>2196</v>
      </c>
      <c r="J8" s="9" t="s">
        <v>2197</v>
      </c>
      <c r="K8" s="9" t="s">
        <v>2198</v>
      </c>
      <c r="L8" s="9" t="s">
        <v>2199</v>
      </c>
      <c r="M8" s="9" t="s">
        <v>2200</v>
      </c>
      <c r="N8" s="9" t="s">
        <v>2201</v>
      </c>
      <c r="O8" s="9" t="s">
        <v>2202</v>
      </c>
      <c r="P8" s="9" t="s">
        <v>2203</v>
      </c>
      <c r="Q8" s="9" t="s">
        <v>2204</v>
      </c>
      <c r="R8" s="9" t="s">
        <v>2205</v>
      </c>
      <c r="S8" s="9" t="s">
        <v>2206</v>
      </c>
      <c r="T8" s="9" t="s">
        <v>2207</v>
      </c>
      <c r="U8" s="9" t="s">
        <v>2208</v>
      </c>
      <c r="V8" s="9" t="s">
        <v>2209</v>
      </c>
      <c r="W8" s="9" t="s">
        <v>2210</v>
      </c>
    </row>
    <row r="9">
      <c r="A9" s="9">
        <v>7.0</v>
      </c>
      <c r="B9" s="9" t="s">
        <v>2106</v>
      </c>
      <c r="C9" s="9">
        <f t="shared" si="1"/>
        <v>1</v>
      </c>
      <c r="D9" s="9">
        <f t="shared" si="2"/>
        <v>8</v>
      </c>
      <c r="F9" s="8">
        <v>8.0</v>
      </c>
      <c r="G9" s="8">
        <v>14.0</v>
      </c>
      <c r="H9" s="9" t="s">
        <v>2211</v>
      </c>
      <c r="I9" s="9" t="s">
        <v>2212</v>
      </c>
      <c r="J9" s="9" t="s">
        <v>2213</v>
      </c>
      <c r="K9" s="9" t="s">
        <v>2214</v>
      </c>
      <c r="L9" s="9" t="s">
        <v>2215</v>
      </c>
      <c r="M9" s="9" t="s">
        <v>2216</v>
      </c>
      <c r="N9" s="9" t="s">
        <v>2217</v>
      </c>
      <c r="O9" s="9" t="s">
        <v>2218</v>
      </c>
      <c r="P9" s="9" t="s">
        <v>2219</v>
      </c>
      <c r="Q9" s="9" t="s">
        <v>2220</v>
      </c>
      <c r="R9" s="9" t="s">
        <v>2221</v>
      </c>
      <c r="S9" s="9" t="s">
        <v>2222</v>
      </c>
      <c r="T9" s="9" t="s">
        <v>2223</v>
      </c>
      <c r="U9" s="9" t="s">
        <v>2224</v>
      </c>
      <c r="V9" s="9" t="s">
        <v>2225</v>
      </c>
      <c r="W9" s="9" t="s">
        <v>2226</v>
      </c>
    </row>
    <row r="10">
      <c r="A10" s="9">
        <v>8.0</v>
      </c>
      <c r="B10" s="9" t="s">
        <v>2107</v>
      </c>
      <c r="C10" s="9">
        <f t="shared" si="1"/>
        <v>1</v>
      </c>
      <c r="D10" s="9">
        <f t="shared" si="2"/>
        <v>9</v>
      </c>
      <c r="F10" s="8">
        <v>9.0</v>
      </c>
      <c r="G10" s="8">
        <v>3.0</v>
      </c>
      <c r="H10" s="9" t="s">
        <v>2227</v>
      </c>
      <c r="I10" s="9" t="s">
        <v>2228</v>
      </c>
      <c r="J10" s="9" t="s">
        <v>2229</v>
      </c>
      <c r="K10" s="9" t="s">
        <v>2230</v>
      </c>
      <c r="L10" s="9" t="s">
        <v>2231</v>
      </c>
      <c r="M10" s="9" t="s">
        <v>2232</v>
      </c>
      <c r="N10" s="9" t="s">
        <v>2233</v>
      </c>
      <c r="O10" s="9" t="s">
        <v>2234</v>
      </c>
      <c r="P10" s="9" t="s">
        <v>2235</v>
      </c>
      <c r="Q10" s="9" t="s">
        <v>2236</v>
      </c>
      <c r="R10" s="9" t="s">
        <v>2237</v>
      </c>
      <c r="S10" s="9" t="s">
        <v>2238</v>
      </c>
      <c r="T10" s="9" t="s">
        <v>2239</v>
      </c>
      <c r="U10" s="9" t="s">
        <v>2240</v>
      </c>
      <c r="V10" s="9" t="s">
        <v>2241</v>
      </c>
      <c r="W10" s="9" t="s">
        <v>2242</v>
      </c>
    </row>
    <row r="11">
      <c r="A11" s="9">
        <v>9.0</v>
      </c>
      <c r="B11" s="9" t="s">
        <v>2108</v>
      </c>
      <c r="C11" s="9">
        <f t="shared" si="1"/>
        <v>1</v>
      </c>
      <c r="D11" s="9">
        <f t="shared" si="2"/>
        <v>10</v>
      </c>
      <c r="F11" s="8">
        <v>10.0</v>
      </c>
      <c r="G11" s="8">
        <v>7.0</v>
      </c>
      <c r="H11" s="9" t="s">
        <v>2243</v>
      </c>
      <c r="I11" s="9" t="s">
        <v>2244</v>
      </c>
      <c r="J11" s="9" t="s">
        <v>2245</v>
      </c>
      <c r="K11" s="9" t="s">
        <v>2246</v>
      </c>
      <c r="L11" s="9" t="s">
        <v>2247</v>
      </c>
      <c r="M11" s="9" t="s">
        <v>2248</v>
      </c>
      <c r="N11" s="9" t="s">
        <v>2249</v>
      </c>
      <c r="O11" s="9" t="s">
        <v>2250</v>
      </c>
      <c r="P11" s="9" t="s">
        <v>2251</v>
      </c>
      <c r="Q11" s="9" t="s">
        <v>2252</v>
      </c>
      <c r="R11" s="9" t="s">
        <v>2253</v>
      </c>
      <c r="S11" s="9" t="s">
        <v>2254</v>
      </c>
      <c r="T11" s="9" t="s">
        <v>2255</v>
      </c>
      <c r="U11" s="9" t="s">
        <v>2256</v>
      </c>
      <c r="V11" s="9" t="s">
        <v>2257</v>
      </c>
      <c r="W11" s="9" t="s">
        <v>2258</v>
      </c>
    </row>
    <row r="12">
      <c r="A12" s="9">
        <v>10.0</v>
      </c>
      <c r="B12" s="9" t="s">
        <v>2109</v>
      </c>
      <c r="C12" s="9">
        <f t="shared" si="1"/>
        <v>1</v>
      </c>
      <c r="D12" s="9">
        <f t="shared" si="2"/>
        <v>11</v>
      </c>
      <c r="F12" s="8">
        <v>11.0</v>
      </c>
      <c r="G12" s="8">
        <v>11.0</v>
      </c>
      <c r="H12" s="9" t="s">
        <v>2259</v>
      </c>
      <c r="I12" s="9" t="s">
        <v>2260</v>
      </c>
      <c r="J12" s="9" t="s">
        <v>2261</v>
      </c>
      <c r="K12" s="9" t="s">
        <v>2262</v>
      </c>
      <c r="L12" s="9" t="s">
        <v>2263</v>
      </c>
      <c r="M12" s="9" t="s">
        <v>2264</v>
      </c>
      <c r="N12" s="9" t="s">
        <v>2265</v>
      </c>
      <c r="O12" s="9" t="s">
        <v>2266</v>
      </c>
      <c r="P12" s="9" t="s">
        <v>2267</v>
      </c>
      <c r="Q12" s="9" t="s">
        <v>2268</v>
      </c>
      <c r="R12" s="9" t="s">
        <v>2269</v>
      </c>
      <c r="S12" s="9" t="s">
        <v>2270</v>
      </c>
      <c r="T12" s="9" t="s">
        <v>2271</v>
      </c>
      <c r="U12" s="9" t="s">
        <v>2272</v>
      </c>
      <c r="V12" s="9" t="s">
        <v>2273</v>
      </c>
      <c r="W12" s="9" t="s">
        <v>2274</v>
      </c>
    </row>
    <row r="13">
      <c r="A13" s="9">
        <v>11.0</v>
      </c>
      <c r="B13" s="9" t="s">
        <v>2110</v>
      </c>
      <c r="C13" s="9">
        <f t="shared" si="1"/>
        <v>1</v>
      </c>
      <c r="D13" s="9">
        <f t="shared" si="2"/>
        <v>12</v>
      </c>
      <c r="F13" s="8">
        <v>12.0</v>
      </c>
      <c r="G13" s="8">
        <v>15.0</v>
      </c>
      <c r="H13" s="9" t="s">
        <v>2275</v>
      </c>
      <c r="I13" s="9" t="s">
        <v>2276</v>
      </c>
      <c r="J13" s="9" t="s">
        <v>2277</v>
      </c>
      <c r="K13" s="9" t="s">
        <v>2278</v>
      </c>
      <c r="L13" s="9" t="s">
        <v>2279</v>
      </c>
      <c r="M13" s="9" t="s">
        <v>2280</v>
      </c>
      <c r="N13" s="9" t="s">
        <v>2281</v>
      </c>
      <c r="O13" s="9" t="s">
        <v>2282</v>
      </c>
      <c r="P13" s="9" t="s">
        <v>2283</v>
      </c>
      <c r="Q13" s="9" t="s">
        <v>2284</v>
      </c>
      <c r="R13" s="9" t="s">
        <v>2285</v>
      </c>
      <c r="S13" s="9" t="s">
        <v>2286</v>
      </c>
      <c r="T13" s="9" t="s">
        <v>2287</v>
      </c>
      <c r="U13" s="9" t="s">
        <v>2288</v>
      </c>
      <c r="V13" s="9" t="s">
        <v>2289</v>
      </c>
      <c r="W13" s="9" t="s">
        <v>2290</v>
      </c>
    </row>
    <row r="14">
      <c r="A14" s="9">
        <v>12.0</v>
      </c>
      <c r="B14" s="9" t="s">
        <v>2111</v>
      </c>
      <c r="C14" s="9">
        <f t="shared" si="1"/>
        <v>1</v>
      </c>
      <c r="D14" s="9">
        <f t="shared" si="2"/>
        <v>13</v>
      </c>
      <c r="F14" s="8">
        <v>13.0</v>
      </c>
      <c r="G14" s="8">
        <v>4.0</v>
      </c>
      <c r="H14" s="9" t="s">
        <v>2291</v>
      </c>
      <c r="I14" s="9" t="s">
        <v>2292</v>
      </c>
      <c r="J14" s="9" t="s">
        <v>2293</v>
      </c>
      <c r="K14" s="9" t="s">
        <v>2294</v>
      </c>
      <c r="L14" s="9" t="s">
        <v>2295</v>
      </c>
      <c r="M14" s="9" t="s">
        <v>2296</v>
      </c>
      <c r="N14" s="9" t="s">
        <v>2297</v>
      </c>
      <c r="O14" s="9" t="s">
        <v>2298</v>
      </c>
      <c r="P14" s="9" t="s">
        <v>2299</v>
      </c>
      <c r="Q14" s="9" t="s">
        <v>2300</v>
      </c>
      <c r="R14" s="9" t="s">
        <v>2301</v>
      </c>
      <c r="S14" s="9" t="s">
        <v>2302</v>
      </c>
      <c r="T14" s="9" t="s">
        <v>2303</v>
      </c>
      <c r="U14" s="9" t="s">
        <v>2304</v>
      </c>
      <c r="V14" s="9" t="s">
        <v>2305</v>
      </c>
      <c r="W14" s="9" t="s">
        <v>2306</v>
      </c>
    </row>
    <row r="15">
      <c r="A15" s="9">
        <v>13.0</v>
      </c>
      <c r="B15" s="9" t="s">
        <v>2112</v>
      </c>
      <c r="C15" s="9">
        <f t="shared" si="1"/>
        <v>1</v>
      </c>
      <c r="D15" s="9">
        <f t="shared" si="2"/>
        <v>14</v>
      </c>
      <c r="F15" s="8">
        <v>14.0</v>
      </c>
      <c r="G15" s="8">
        <v>8.0</v>
      </c>
      <c r="H15" s="9" t="s">
        <v>2307</v>
      </c>
      <c r="I15" s="9" t="s">
        <v>2308</v>
      </c>
      <c r="J15" s="9" t="s">
        <v>2309</v>
      </c>
      <c r="K15" s="9" t="s">
        <v>2310</v>
      </c>
      <c r="L15" s="9" t="s">
        <v>2311</v>
      </c>
      <c r="M15" s="9" t="s">
        <v>2312</v>
      </c>
      <c r="N15" s="9" t="s">
        <v>2313</v>
      </c>
      <c r="O15" s="9" t="s">
        <v>2314</v>
      </c>
      <c r="P15" s="9" t="s">
        <v>2315</v>
      </c>
      <c r="Q15" s="9" t="s">
        <v>2316</v>
      </c>
      <c r="R15" s="9" t="s">
        <v>2317</v>
      </c>
      <c r="S15" s="9" t="s">
        <v>2318</v>
      </c>
      <c r="T15" s="9" t="s">
        <v>2319</v>
      </c>
      <c r="U15" s="9" t="s">
        <v>2320</v>
      </c>
      <c r="V15" s="9" t="s">
        <v>2321</v>
      </c>
      <c r="W15" s="9" t="s">
        <v>2322</v>
      </c>
    </row>
    <row r="16">
      <c r="A16" s="9">
        <v>14.0</v>
      </c>
      <c r="B16" s="9" t="s">
        <v>2113</v>
      </c>
      <c r="C16" s="9">
        <f t="shared" si="1"/>
        <v>1</v>
      </c>
      <c r="D16" s="9">
        <f t="shared" si="2"/>
        <v>15</v>
      </c>
      <c r="F16" s="8">
        <v>15.0</v>
      </c>
      <c r="G16" s="8">
        <v>12.0</v>
      </c>
      <c r="H16" s="9" t="s">
        <v>2323</v>
      </c>
      <c r="I16" s="9" t="s">
        <v>2324</v>
      </c>
      <c r="J16" s="9" t="s">
        <v>2325</v>
      </c>
      <c r="K16" s="9" t="s">
        <v>2326</v>
      </c>
      <c r="L16" s="9" t="s">
        <v>2327</v>
      </c>
      <c r="M16" s="9" t="s">
        <v>2328</v>
      </c>
      <c r="N16" s="9" t="s">
        <v>2329</v>
      </c>
      <c r="O16" s="9" t="s">
        <v>2330</v>
      </c>
      <c r="P16" s="9" t="s">
        <v>2331</v>
      </c>
      <c r="Q16" s="9" t="s">
        <v>2332</v>
      </c>
      <c r="R16" s="9" t="s">
        <v>2333</v>
      </c>
      <c r="S16" s="9" t="s">
        <v>2334</v>
      </c>
      <c r="T16" s="9" t="s">
        <v>2335</v>
      </c>
      <c r="U16" s="9" t="s">
        <v>2336</v>
      </c>
      <c r="V16" s="9" t="s">
        <v>2337</v>
      </c>
      <c r="W16" s="9" t="s">
        <v>2338</v>
      </c>
    </row>
    <row r="17">
      <c r="A17" s="9">
        <v>15.0</v>
      </c>
      <c r="B17" s="9" t="s">
        <v>2114</v>
      </c>
      <c r="C17" s="9">
        <f t="shared" si="1"/>
        <v>1</v>
      </c>
      <c r="D17" s="9">
        <f t="shared" si="2"/>
        <v>16</v>
      </c>
      <c r="F17" s="8">
        <v>16.0</v>
      </c>
      <c r="G17" s="8">
        <v>16.0</v>
      </c>
      <c r="H17" s="9" t="s">
        <v>2339</v>
      </c>
      <c r="I17" s="9" t="s">
        <v>2340</v>
      </c>
      <c r="J17" s="9" t="s">
        <v>2341</v>
      </c>
      <c r="K17" s="9" t="s">
        <v>2342</v>
      </c>
      <c r="L17" s="9" t="s">
        <v>2343</v>
      </c>
      <c r="M17" s="9" t="s">
        <v>2344</v>
      </c>
      <c r="N17" s="9" t="s">
        <v>2345</v>
      </c>
      <c r="O17" s="9" t="s">
        <v>2346</v>
      </c>
      <c r="P17" s="9" t="s">
        <v>2347</v>
      </c>
      <c r="Q17" s="9" t="s">
        <v>2348</v>
      </c>
      <c r="R17" s="9" t="s">
        <v>2349</v>
      </c>
      <c r="S17" s="9" t="s">
        <v>2350</v>
      </c>
      <c r="T17" s="9" t="s">
        <v>2351</v>
      </c>
      <c r="U17" s="9" t="s">
        <v>2352</v>
      </c>
      <c r="V17" s="9" t="s">
        <v>2353</v>
      </c>
      <c r="W17" s="9" t="s">
        <v>2354</v>
      </c>
    </row>
    <row r="18">
      <c r="A18" s="9">
        <v>16.0</v>
      </c>
      <c r="B18" s="9" t="s">
        <v>2163</v>
      </c>
      <c r="C18" s="9">
        <f t="shared" si="1"/>
        <v>2</v>
      </c>
      <c r="D18" s="9">
        <f t="shared" si="2"/>
        <v>1</v>
      </c>
    </row>
    <row r="19">
      <c r="A19" s="9">
        <v>17.0</v>
      </c>
      <c r="B19" s="9" t="s">
        <v>2164</v>
      </c>
      <c r="C19" s="9">
        <f t="shared" si="1"/>
        <v>2</v>
      </c>
      <c r="D19" s="9">
        <f t="shared" si="2"/>
        <v>2</v>
      </c>
    </row>
    <row r="20">
      <c r="A20" s="9">
        <v>18.0</v>
      </c>
      <c r="B20" s="9" t="s">
        <v>2165</v>
      </c>
      <c r="C20" s="9">
        <f t="shared" si="1"/>
        <v>2</v>
      </c>
      <c r="D20" s="9">
        <f t="shared" si="2"/>
        <v>3</v>
      </c>
    </row>
    <row r="21">
      <c r="A21" s="9">
        <v>19.0</v>
      </c>
      <c r="B21" s="9" t="s">
        <v>2166</v>
      </c>
      <c r="C21" s="9">
        <f t="shared" si="1"/>
        <v>2</v>
      </c>
      <c r="D21" s="9">
        <f t="shared" si="2"/>
        <v>4</v>
      </c>
    </row>
    <row r="22">
      <c r="A22" s="9">
        <v>20.0</v>
      </c>
      <c r="B22" s="9" t="s">
        <v>2167</v>
      </c>
      <c r="C22" s="9">
        <f t="shared" si="1"/>
        <v>2</v>
      </c>
      <c r="D22" s="9">
        <f t="shared" si="2"/>
        <v>5</v>
      </c>
    </row>
    <row r="23">
      <c r="A23" s="9">
        <v>21.0</v>
      </c>
      <c r="B23" s="9" t="s">
        <v>2168</v>
      </c>
      <c r="C23" s="9">
        <f t="shared" si="1"/>
        <v>2</v>
      </c>
      <c r="D23" s="9">
        <f t="shared" si="2"/>
        <v>6</v>
      </c>
    </row>
    <row r="24">
      <c r="A24" s="9">
        <v>22.0</v>
      </c>
      <c r="B24" s="9" t="s">
        <v>2169</v>
      </c>
      <c r="C24" s="9">
        <f t="shared" si="1"/>
        <v>2</v>
      </c>
      <c r="D24" s="9">
        <f t="shared" si="2"/>
        <v>7</v>
      </c>
    </row>
    <row r="25">
      <c r="A25" s="9">
        <v>23.0</v>
      </c>
      <c r="B25" s="9" t="s">
        <v>2170</v>
      </c>
      <c r="C25" s="9">
        <f t="shared" si="1"/>
        <v>2</v>
      </c>
      <c r="D25" s="9">
        <f t="shared" si="2"/>
        <v>8</v>
      </c>
    </row>
    <row r="26">
      <c r="A26" s="9">
        <v>24.0</v>
      </c>
      <c r="B26" s="9" t="s">
        <v>2171</v>
      </c>
      <c r="C26" s="9">
        <f t="shared" si="1"/>
        <v>2</v>
      </c>
      <c r="D26" s="9">
        <f t="shared" si="2"/>
        <v>9</v>
      </c>
    </row>
    <row r="27">
      <c r="A27" s="9">
        <v>25.0</v>
      </c>
      <c r="B27" s="9" t="s">
        <v>2172</v>
      </c>
      <c r="C27" s="9">
        <f t="shared" si="1"/>
        <v>2</v>
      </c>
      <c r="D27" s="9">
        <f t="shared" si="2"/>
        <v>10</v>
      </c>
    </row>
    <row r="28">
      <c r="A28" s="9">
        <v>26.0</v>
      </c>
      <c r="B28" s="9" t="s">
        <v>2173</v>
      </c>
      <c r="C28" s="9">
        <f t="shared" si="1"/>
        <v>2</v>
      </c>
      <c r="D28" s="9">
        <f t="shared" si="2"/>
        <v>11</v>
      </c>
    </row>
    <row r="29">
      <c r="A29" s="9">
        <v>27.0</v>
      </c>
      <c r="B29" s="9" t="s">
        <v>2174</v>
      </c>
      <c r="C29" s="9">
        <f t="shared" si="1"/>
        <v>2</v>
      </c>
      <c r="D29" s="9">
        <f t="shared" si="2"/>
        <v>12</v>
      </c>
    </row>
    <row r="30">
      <c r="A30" s="9">
        <v>28.0</v>
      </c>
      <c r="B30" s="9" t="s">
        <v>2175</v>
      </c>
      <c r="C30" s="9">
        <f t="shared" si="1"/>
        <v>2</v>
      </c>
      <c r="D30" s="9">
        <f t="shared" si="2"/>
        <v>13</v>
      </c>
    </row>
    <row r="31">
      <c r="A31" s="9">
        <v>29.0</v>
      </c>
      <c r="B31" s="9" t="s">
        <v>2176</v>
      </c>
      <c r="C31" s="9">
        <f t="shared" si="1"/>
        <v>2</v>
      </c>
      <c r="D31" s="9">
        <f t="shared" si="2"/>
        <v>14</v>
      </c>
    </row>
    <row r="32">
      <c r="A32" s="9">
        <v>30.0</v>
      </c>
      <c r="B32" s="9" t="s">
        <v>2177</v>
      </c>
      <c r="C32" s="9">
        <f t="shared" si="1"/>
        <v>2</v>
      </c>
      <c r="D32" s="9">
        <f t="shared" si="2"/>
        <v>15</v>
      </c>
    </row>
    <row r="33">
      <c r="A33" s="9">
        <v>31.0</v>
      </c>
      <c r="B33" s="9" t="s">
        <v>2178</v>
      </c>
      <c r="C33" s="9">
        <f t="shared" si="1"/>
        <v>2</v>
      </c>
      <c r="D33" s="9">
        <f t="shared" si="2"/>
        <v>16</v>
      </c>
    </row>
    <row r="34">
      <c r="A34" s="9">
        <v>32.0</v>
      </c>
      <c r="B34" s="9" t="s">
        <v>2227</v>
      </c>
      <c r="C34" s="9">
        <f t="shared" si="1"/>
        <v>3</v>
      </c>
      <c r="D34" s="9">
        <f t="shared" si="2"/>
        <v>1</v>
      </c>
    </row>
    <row r="35">
      <c r="A35" s="9">
        <v>33.0</v>
      </c>
      <c r="B35" s="9" t="s">
        <v>2228</v>
      </c>
      <c r="C35" s="9">
        <f t="shared" si="1"/>
        <v>3</v>
      </c>
      <c r="D35" s="9">
        <f t="shared" si="2"/>
        <v>2</v>
      </c>
    </row>
    <row r="36">
      <c r="A36" s="9">
        <v>34.0</v>
      </c>
      <c r="B36" s="9" t="s">
        <v>2229</v>
      </c>
      <c r="C36" s="9">
        <f t="shared" si="1"/>
        <v>3</v>
      </c>
      <c r="D36" s="9">
        <f t="shared" si="2"/>
        <v>3</v>
      </c>
    </row>
    <row r="37">
      <c r="A37" s="9">
        <v>35.0</v>
      </c>
      <c r="B37" s="9" t="s">
        <v>2230</v>
      </c>
      <c r="C37" s="9">
        <f t="shared" si="1"/>
        <v>3</v>
      </c>
      <c r="D37" s="9">
        <f t="shared" si="2"/>
        <v>4</v>
      </c>
    </row>
    <row r="38">
      <c r="A38" s="9">
        <v>36.0</v>
      </c>
      <c r="B38" s="9" t="s">
        <v>2231</v>
      </c>
      <c r="C38" s="9">
        <f t="shared" si="1"/>
        <v>3</v>
      </c>
      <c r="D38" s="9">
        <f t="shared" si="2"/>
        <v>5</v>
      </c>
    </row>
    <row r="39">
      <c r="A39" s="9">
        <v>37.0</v>
      </c>
      <c r="B39" s="9" t="s">
        <v>2232</v>
      </c>
      <c r="C39" s="9">
        <f t="shared" si="1"/>
        <v>3</v>
      </c>
      <c r="D39" s="9">
        <f t="shared" si="2"/>
        <v>6</v>
      </c>
    </row>
    <row r="40">
      <c r="A40" s="9">
        <v>38.0</v>
      </c>
      <c r="B40" s="9" t="s">
        <v>2233</v>
      </c>
      <c r="C40" s="9">
        <f t="shared" si="1"/>
        <v>3</v>
      </c>
      <c r="D40" s="9">
        <f t="shared" si="2"/>
        <v>7</v>
      </c>
    </row>
    <row r="41">
      <c r="A41" s="9">
        <v>39.0</v>
      </c>
      <c r="B41" s="9" t="s">
        <v>2234</v>
      </c>
      <c r="C41" s="9">
        <f t="shared" si="1"/>
        <v>3</v>
      </c>
      <c r="D41" s="9">
        <f t="shared" si="2"/>
        <v>8</v>
      </c>
    </row>
    <row r="42">
      <c r="A42" s="9">
        <v>40.0</v>
      </c>
      <c r="B42" s="9" t="s">
        <v>2235</v>
      </c>
      <c r="C42" s="9">
        <f t="shared" si="1"/>
        <v>3</v>
      </c>
      <c r="D42" s="9">
        <f t="shared" si="2"/>
        <v>9</v>
      </c>
    </row>
    <row r="43">
      <c r="A43" s="9">
        <v>41.0</v>
      </c>
      <c r="B43" s="9" t="s">
        <v>2236</v>
      </c>
      <c r="C43" s="9">
        <f t="shared" si="1"/>
        <v>3</v>
      </c>
      <c r="D43" s="9">
        <f t="shared" si="2"/>
        <v>10</v>
      </c>
    </row>
    <row r="44">
      <c r="A44" s="9">
        <v>42.0</v>
      </c>
      <c r="B44" s="9" t="s">
        <v>2237</v>
      </c>
      <c r="C44" s="9">
        <f t="shared" si="1"/>
        <v>3</v>
      </c>
      <c r="D44" s="9">
        <f t="shared" si="2"/>
        <v>11</v>
      </c>
    </row>
    <row r="45">
      <c r="A45" s="9">
        <v>43.0</v>
      </c>
      <c r="B45" s="9" t="s">
        <v>2238</v>
      </c>
      <c r="C45" s="9">
        <f t="shared" si="1"/>
        <v>3</v>
      </c>
      <c r="D45" s="9">
        <f t="shared" si="2"/>
        <v>12</v>
      </c>
    </row>
    <row r="46">
      <c r="A46" s="9">
        <v>44.0</v>
      </c>
      <c r="B46" s="9" t="s">
        <v>2239</v>
      </c>
      <c r="C46" s="9">
        <f t="shared" si="1"/>
        <v>3</v>
      </c>
      <c r="D46" s="9">
        <f t="shared" si="2"/>
        <v>13</v>
      </c>
    </row>
    <row r="47">
      <c r="A47" s="9">
        <v>45.0</v>
      </c>
      <c r="B47" s="9" t="s">
        <v>2240</v>
      </c>
      <c r="C47" s="9">
        <f t="shared" si="1"/>
        <v>3</v>
      </c>
      <c r="D47" s="9">
        <f t="shared" si="2"/>
        <v>14</v>
      </c>
    </row>
    <row r="48">
      <c r="A48" s="9">
        <v>46.0</v>
      </c>
      <c r="B48" s="9" t="s">
        <v>2241</v>
      </c>
      <c r="C48" s="9">
        <f t="shared" si="1"/>
        <v>3</v>
      </c>
      <c r="D48" s="9">
        <f t="shared" si="2"/>
        <v>15</v>
      </c>
    </row>
    <row r="49">
      <c r="A49" s="9">
        <v>47.0</v>
      </c>
      <c r="B49" s="9" t="s">
        <v>2242</v>
      </c>
      <c r="C49" s="9">
        <f t="shared" si="1"/>
        <v>3</v>
      </c>
      <c r="D49" s="9">
        <f t="shared" si="2"/>
        <v>16</v>
      </c>
    </row>
    <row r="50">
      <c r="A50" s="9">
        <v>48.0</v>
      </c>
      <c r="B50" s="9" t="s">
        <v>2291</v>
      </c>
      <c r="C50" s="9">
        <f t="shared" si="1"/>
        <v>4</v>
      </c>
      <c r="D50" s="9">
        <f t="shared" si="2"/>
        <v>1</v>
      </c>
    </row>
    <row r="51">
      <c r="A51" s="9">
        <v>49.0</v>
      </c>
      <c r="B51" s="9" t="s">
        <v>2292</v>
      </c>
      <c r="C51" s="9">
        <f t="shared" si="1"/>
        <v>4</v>
      </c>
      <c r="D51" s="9">
        <f t="shared" si="2"/>
        <v>2</v>
      </c>
    </row>
    <row r="52">
      <c r="A52" s="9">
        <v>50.0</v>
      </c>
      <c r="B52" s="9" t="s">
        <v>2293</v>
      </c>
      <c r="C52" s="9">
        <f t="shared" si="1"/>
        <v>4</v>
      </c>
      <c r="D52" s="9">
        <f t="shared" si="2"/>
        <v>3</v>
      </c>
    </row>
    <row r="53">
      <c r="A53" s="9">
        <v>51.0</v>
      </c>
      <c r="B53" s="9" t="s">
        <v>2294</v>
      </c>
      <c r="C53" s="9">
        <f t="shared" si="1"/>
        <v>4</v>
      </c>
      <c r="D53" s="9">
        <f t="shared" si="2"/>
        <v>4</v>
      </c>
    </row>
    <row r="54">
      <c r="A54" s="9">
        <v>52.0</v>
      </c>
      <c r="B54" s="9" t="s">
        <v>2295</v>
      </c>
      <c r="C54" s="9">
        <f t="shared" si="1"/>
        <v>4</v>
      </c>
      <c r="D54" s="9">
        <f t="shared" si="2"/>
        <v>5</v>
      </c>
    </row>
    <row r="55">
      <c r="A55" s="9">
        <v>53.0</v>
      </c>
      <c r="B55" s="9" t="s">
        <v>2296</v>
      </c>
      <c r="C55" s="9">
        <f t="shared" si="1"/>
        <v>4</v>
      </c>
      <c r="D55" s="9">
        <f t="shared" si="2"/>
        <v>6</v>
      </c>
    </row>
    <row r="56">
      <c r="A56" s="9">
        <v>54.0</v>
      </c>
      <c r="B56" s="9" t="s">
        <v>2297</v>
      </c>
      <c r="C56" s="9">
        <f t="shared" si="1"/>
        <v>4</v>
      </c>
      <c r="D56" s="9">
        <f t="shared" si="2"/>
        <v>7</v>
      </c>
    </row>
    <row r="57">
      <c r="A57" s="9">
        <v>55.0</v>
      </c>
      <c r="B57" s="9" t="s">
        <v>2298</v>
      </c>
      <c r="C57" s="9">
        <f t="shared" si="1"/>
        <v>4</v>
      </c>
      <c r="D57" s="9">
        <f t="shared" si="2"/>
        <v>8</v>
      </c>
    </row>
    <row r="58">
      <c r="A58" s="9">
        <v>56.0</v>
      </c>
      <c r="B58" s="9" t="s">
        <v>2299</v>
      </c>
      <c r="C58" s="9">
        <f t="shared" si="1"/>
        <v>4</v>
      </c>
      <c r="D58" s="9">
        <f t="shared" si="2"/>
        <v>9</v>
      </c>
    </row>
    <row r="59">
      <c r="A59" s="9">
        <v>57.0</v>
      </c>
      <c r="B59" s="9" t="s">
        <v>2300</v>
      </c>
      <c r="C59" s="9">
        <f t="shared" si="1"/>
        <v>4</v>
      </c>
      <c r="D59" s="9">
        <f t="shared" si="2"/>
        <v>10</v>
      </c>
    </row>
    <row r="60">
      <c r="A60" s="9">
        <v>58.0</v>
      </c>
      <c r="B60" s="9" t="s">
        <v>2301</v>
      </c>
      <c r="C60" s="9">
        <f t="shared" si="1"/>
        <v>4</v>
      </c>
      <c r="D60" s="9">
        <f t="shared" si="2"/>
        <v>11</v>
      </c>
    </row>
    <row r="61">
      <c r="A61" s="9">
        <v>59.0</v>
      </c>
      <c r="B61" s="9" t="s">
        <v>2302</v>
      </c>
      <c r="C61" s="9">
        <f t="shared" si="1"/>
        <v>4</v>
      </c>
      <c r="D61" s="9">
        <f t="shared" si="2"/>
        <v>12</v>
      </c>
    </row>
    <row r="62">
      <c r="A62" s="9">
        <v>60.0</v>
      </c>
      <c r="B62" s="9" t="s">
        <v>2303</v>
      </c>
      <c r="C62" s="9">
        <f t="shared" si="1"/>
        <v>4</v>
      </c>
      <c r="D62" s="9">
        <f t="shared" si="2"/>
        <v>13</v>
      </c>
    </row>
    <row r="63">
      <c r="A63" s="9">
        <v>61.0</v>
      </c>
      <c r="B63" s="9" t="s">
        <v>2304</v>
      </c>
      <c r="C63" s="9">
        <f t="shared" si="1"/>
        <v>4</v>
      </c>
      <c r="D63" s="9">
        <f t="shared" si="2"/>
        <v>14</v>
      </c>
    </row>
    <row r="64">
      <c r="A64" s="9">
        <v>62.0</v>
      </c>
      <c r="B64" s="9" t="s">
        <v>2305</v>
      </c>
      <c r="C64" s="9">
        <f t="shared" si="1"/>
        <v>4</v>
      </c>
      <c r="D64" s="9">
        <f t="shared" si="2"/>
        <v>15</v>
      </c>
    </row>
    <row r="65">
      <c r="A65" s="9">
        <v>63.0</v>
      </c>
      <c r="B65" s="9" t="s">
        <v>2306</v>
      </c>
      <c r="C65" s="9">
        <f t="shared" si="1"/>
        <v>4</v>
      </c>
      <c r="D65" s="9">
        <f t="shared" si="2"/>
        <v>16</v>
      </c>
    </row>
    <row r="66">
      <c r="A66" s="9">
        <v>64.0</v>
      </c>
      <c r="B66" s="9" t="s">
        <v>2115</v>
      </c>
      <c r="C66" s="9">
        <f t="shared" si="1"/>
        <v>5</v>
      </c>
      <c r="D66" s="9">
        <f t="shared" si="2"/>
        <v>1</v>
      </c>
    </row>
    <row r="67">
      <c r="A67" s="9">
        <v>65.0</v>
      </c>
      <c r="B67" s="9" t="s">
        <v>2116</v>
      </c>
      <c r="C67" s="9">
        <f t="shared" si="1"/>
        <v>5</v>
      </c>
      <c r="D67" s="9">
        <f t="shared" si="2"/>
        <v>2</v>
      </c>
    </row>
    <row r="68">
      <c r="A68" s="9">
        <v>66.0</v>
      </c>
      <c r="B68" s="9" t="s">
        <v>2117</v>
      </c>
      <c r="C68" s="9">
        <f t="shared" si="1"/>
        <v>5</v>
      </c>
      <c r="D68" s="9">
        <f t="shared" si="2"/>
        <v>3</v>
      </c>
    </row>
    <row r="69">
      <c r="A69" s="9">
        <v>67.0</v>
      </c>
      <c r="B69" s="9" t="s">
        <v>2118</v>
      </c>
      <c r="C69" s="9">
        <f t="shared" si="1"/>
        <v>5</v>
      </c>
      <c r="D69" s="9">
        <f t="shared" si="2"/>
        <v>4</v>
      </c>
    </row>
    <row r="70">
      <c r="A70" s="9">
        <v>68.0</v>
      </c>
      <c r="B70" s="9" t="s">
        <v>2119</v>
      </c>
      <c r="C70" s="9">
        <f t="shared" si="1"/>
        <v>5</v>
      </c>
      <c r="D70" s="9">
        <f t="shared" si="2"/>
        <v>5</v>
      </c>
    </row>
    <row r="71">
      <c r="A71" s="9">
        <v>69.0</v>
      </c>
      <c r="B71" s="9" t="s">
        <v>2120</v>
      </c>
      <c r="C71" s="9">
        <f t="shared" si="1"/>
        <v>5</v>
      </c>
      <c r="D71" s="9">
        <f t="shared" si="2"/>
        <v>6</v>
      </c>
    </row>
    <row r="72">
      <c r="A72" s="9">
        <v>70.0</v>
      </c>
      <c r="B72" s="9" t="s">
        <v>2121</v>
      </c>
      <c r="C72" s="9">
        <f t="shared" si="1"/>
        <v>5</v>
      </c>
      <c r="D72" s="9">
        <f t="shared" si="2"/>
        <v>7</v>
      </c>
    </row>
    <row r="73">
      <c r="A73" s="9">
        <v>71.0</v>
      </c>
      <c r="B73" s="9" t="s">
        <v>2122</v>
      </c>
      <c r="C73" s="9">
        <f t="shared" si="1"/>
        <v>5</v>
      </c>
      <c r="D73" s="9">
        <f t="shared" si="2"/>
        <v>8</v>
      </c>
    </row>
    <row r="74">
      <c r="A74" s="9">
        <v>72.0</v>
      </c>
      <c r="B74" s="9" t="s">
        <v>2123</v>
      </c>
      <c r="C74" s="9">
        <f t="shared" si="1"/>
        <v>5</v>
      </c>
      <c r="D74" s="9">
        <f t="shared" si="2"/>
        <v>9</v>
      </c>
    </row>
    <row r="75">
      <c r="A75" s="9">
        <v>73.0</v>
      </c>
      <c r="B75" s="9" t="s">
        <v>2124</v>
      </c>
      <c r="C75" s="9">
        <f t="shared" si="1"/>
        <v>5</v>
      </c>
      <c r="D75" s="9">
        <f t="shared" si="2"/>
        <v>10</v>
      </c>
    </row>
    <row r="76">
      <c r="A76" s="9">
        <v>74.0</v>
      </c>
      <c r="B76" s="9" t="s">
        <v>2125</v>
      </c>
      <c r="C76" s="9">
        <f t="shared" si="1"/>
        <v>5</v>
      </c>
      <c r="D76" s="9">
        <f t="shared" si="2"/>
        <v>11</v>
      </c>
    </row>
    <row r="77">
      <c r="A77" s="9">
        <v>75.0</v>
      </c>
      <c r="B77" s="9" t="s">
        <v>2126</v>
      </c>
      <c r="C77" s="9">
        <f t="shared" si="1"/>
        <v>5</v>
      </c>
      <c r="D77" s="9">
        <f t="shared" si="2"/>
        <v>12</v>
      </c>
    </row>
    <row r="78">
      <c r="A78" s="9">
        <v>76.0</v>
      </c>
      <c r="B78" s="9" t="s">
        <v>2127</v>
      </c>
      <c r="C78" s="9">
        <f t="shared" si="1"/>
        <v>5</v>
      </c>
      <c r="D78" s="9">
        <f t="shared" si="2"/>
        <v>13</v>
      </c>
    </row>
    <row r="79">
      <c r="A79" s="9">
        <v>77.0</v>
      </c>
      <c r="B79" s="9" t="s">
        <v>2128</v>
      </c>
      <c r="C79" s="9">
        <f t="shared" si="1"/>
        <v>5</v>
      </c>
      <c r="D79" s="9">
        <f t="shared" si="2"/>
        <v>14</v>
      </c>
    </row>
    <row r="80">
      <c r="A80" s="9">
        <v>78.0</v>
      </c>
      <c r="B80" s="9" t="s">
        <v>2129</v>
      </c>
      <c r="C80" s="9">
        <f t="shared" si="1"/>
        <v>5</v>
      </c>
      <c r="D80" s="9">
        <f t="shared" si="2"/>
        <v>15</v>
      </c>
    </row>
    <row r="81">
      <c r="A81" s="9">
        <v>79.0</v>
      </c>
      <c r="B81" s="9" t="s">
        <v>2130</v>
      </c>
      <c r="C81" s="9">
        <f t="shared" si="1"/>
        <v>5</v>
      </c>
      <c r="D81" s="9">
        <f t="shared" si="2"/>
        <v>16</v>
      </c>
    </row>
    <row r="82">
      <c r="A82" s="9">
        <v>80.0</v>
      </c>
      <c r="B82" s="9" t="s">
        <v>2179</v>
      </c>
      <c r="C82" s="9">
        <f t="shared" si="1"/>
        <v>6</v>
      </c>
      <c r="D82" s="9">
        <f t="shared" si="2"/>
        <v>1</v>
      </c>
    </row>
    <row r="83">
      <c r="A83" s="9">
        <v>81.0</v>
      </c>
      <c r="B83" s="9" t="s">
        <v>2180</v>
      </c>
      <c r="C83" s="9">
        <f t="shared" si="1"/>
        <v>6</v>
      </c>
      <c r="D83" s="9">
        <f t="shared" si="2"/>
        <v>2</v>
      </c>
    </row>
    <row r="84">
      <c r="A84" s="9">
        <v>82.0</v>
      </c>
      <c r="B84" s="9" t="s">
        <v>2181</v>
      </c>
      <c r="C84" s="9">
        <f t="shared" si="1"/>
        <v>6</v>
      </c>
      <c r="D84" s="9">
        <f t="shared" si="2"/>
        <v>3</v>
      </c>
    </row>
    <row r="85">
      <c r="A85" s="9">
        <v>83.0</v>
      </c>
      <c r="B85" s="9" t="s">
        <v>2182</v>
      </c>
      <c r="C85" s="9">
        <f t="shared" si="1"/>
        <v>6</v>
      </c>
      <c r="D85" s="9">
        <f t="shared" si="2"/>
        <v>4</v>
      </c>
    </row>
    <row r="86">
      <c r="A86" s="9">
        <v>84.0</v>
      </c>
      <c r="B86" s="9" t="s">
        <v>2183</v>
      </c>
      <c r="C86" s="9">
        <f t="shared" si="1"/>
        <v>6</v>
      </c>
      <c r="D86" s="9">
        <f t="shared" si="2"/>
        <v>5</v>
      </c>
    </row>
    <row r="87">
      <c r="A87" s="9">
        <v>85.0</v>
      </c>
      <c r="B87" s="9" t="s">
        <v>2184</v>
      </c>
      <c r="C87" s="9">
        <f t="shared" si="1"/>
        <v>6</v>
      </c>
      <c r="D87" s="9">
        <f t="shared" si="2"/>
        <v>6</v>
      </c>
    </row>
    <row r="88">
      <c r="A88" s="9">
        <v>86.0</v>
      </c>
      <c r="B88" s="9" t="s">
        <v>2185</v>
      </c>
      <c r="C88" s="9">
        <f t="shared" si="1"/>
        <v>6</v>
      </c>
      <c r="D88" s="9">
        <f t="shared" si="2"/>
        <v>7</v>
      </c>
    </row>
    <row r="89">
      <c r="A89" s="9">
        <v>87.0</v>
      </c>
      <c r="B89" s="9" t="s">
        <v>2186</v>
      </c>
      <c r="C89" s="9">
        <f t="shared" si="1"/>
        <v>6</v>
      </c>
      <c r="D89" s="9">
        <f t="shared" si="2"/>
        <v>8</v>
      </c>
    </row>
    <row r="90">
      <c r="A90" s="9">
        <v>88.0</v>
      </c>
      <c r="B90" s="9" t="s">
        <v>2187</v>
      </c>
      <c r="C90" s="9">
        <f t="shared" si="1"/>
        <v>6</v>
      </c>
      <c r="D90" s="9">
        <f t="shared" si="2"/>
        <v>9</v>
      </c>
    </row>
    <row r="91">
      <c r="A91" s="9">
        <v>89.0</v>
      </c>
      <c r="B91" s="9" t="s">
        <v>2188</v>
      </c>
      <c r="C91" s="9">
        <f t="shared" si="1"/>
        <v>6</v>
      </c>
      <c r="D91" s="9">
        <f t="shared" si="2"/>
        <v>10</v>
      </c>
    </row>
    <row r="92">
      <c r="A92" s="9">
        <v>90.0</v>
      </c>
      <c r="B92" s="9" t="s">
        <v>2189</v>
      </c>
      <c r="C92" s="9">
        <f t="shared" si="1"/>
        <v>6</v>
      </c>
      <c r="D92" s="9">
        <f t="shared" si="2"/>
        <v>11</v>
      </c>
    </row>
    <row r="93">
      <c r="A93" s="9">
        <v>91.0</v>
      </c>
      <c r="B93" s="9" t="s">
        <v>2190</v>
      </c>
      <c r="C93" s="9">
        <f t="shared" si="1"/>
        <v>6</v>
      </c>
      <c r="D93" s="9">
        <f t="shared" si="2"/>
        <v>12</v>
      </c>
    </row>
    <row r="94">
      <c r="A94" s="9">
        <v>92.0</v>
      </c>
      <c r="B94" s="9" t="s">
        <v>2191</v>
      </c>
      <c r="C94" s="9">
        <f t="shared" si="1"/>
        <v>6</v>
      </c>
      <c r="D94" s="9">
        <f t="shared" si="2"/>
        <v>13</v>
      </c>
    </row>
    <row r="95">
      <c r="A95" s="9">
        <v>93.0</v>
      </c>
      <c r="B95" s="9" t="s">
        <v>2192</v>
      </c>
      <c r="C95" s="9">
        <f t="shared" si="1"/>
        <v>6</v>
      </c>
      <c r="D95" s="9">
        <f t="shared" si="2"/>
        <v>14</v>
      </c>
    </row>
    <row r="96">
      <c r="A96" s="9">
        <v>94.0</v>
      </c>
      <c r="B96" s="9" t="s">
        <v>2193</v>
      </c>
      <c r="C96" s="9">
        <f t="shared" si="1"/>
        <v>6</v>
      </c>
      <c r="D96" s="9">
        <f t="shared" si="2"/>
        <v>15</v>
      </c>
    </row>
    <row r="97">
      <c r="A97" s="9">
        <v>95.0</v>
      </c>
      <c r="B97" s="9" t="s">
        <v>2194</v>
      </c>
      <c r="C97" s="9">
        <f t="shared" si="1"/>
        <v>6</v>
      </c>
      <c r="D97" s="9">
        <f t="shared" si="2"/>
        <v>16</v>
      </c>
    </row>
    <row r="98">
      <c r="A98" s="9">
        <v>96.0</v>
      </c>
      <c r="B98" s="9" t="s">
        <v>2243</v>
      </c>
      <c r="C98" s="9">
        <f t="shared" si="1"/>
        <v>7</v>
      </c>
      <c r="D98" s="9">
        <f t="shared" si="2"/>
        <v>1</v>
      </c>
    </row>
    <row r="99">
      <c r="A99" s="9">
        <v>97.0</v>
      </c>
      <c r="B99" s="9" t="s">
        <v>2244</v>
      </c>
      <c r="C99" s="9">
        <f t="shared" si="1"/>
        <v>7</v>
      </c>
      <c r="D99" s="9">
        <f t="shared" si="2"/>
        <v>2</v>
      </c>
    </row>
    <row r="100">
      <c r="A100" s="9">
        <v>98.0</v>
      </c>
      <c r="B100" s="9" t="s">
        <v>2245</v>
      </c>
      <c r="C100" s="9">
        <f t="shared" si="1"/>
        <v>7</v>
      </c>
      <c r="D100" s="9">
        <f t="shared" si="2"/>
        <v>3</v>
      </c>
    </row>
    <row r="101">
      <c r="A101" s="9">
        <v>99.0</v>
      </c>
      <c r="B101" s="9" t="s">
        <v>2246</v>
      </c>
      <c r="C101" s="9">
        <f t="shared" si="1"/>
        <v>7</v>
      </c>
      <c r="D101" s="9">
        <f t="shared" si="2"/>
        <v>4</v>
      </c>
    </row>
    <row r="102">
      <c r="A102" s="9">
        <v>100.0</v>
      </c>
      <c r="B102" s="9" t="s">
        <v>2247</v>
      </c>
      <c r="C102" s="9">
        <f t="shared" si="1"/>
        <v>7</v>
      </c>
      <c r="D102" s="9">
        <f t="shared" si="2"/>
        <v>5</v>
      </c>
    </row>
    <row r="103">
      <c r="A103" s="9">
        <v>101.0</v>
      </c>
      <c r="B103" s="9" t="s">
        <v>2248</v>
      </c>
      <c r="C103" s="9">
        <f t="shared" si="1"/>
        <v>7</v>
      </c>
      <c r="D103" s="9">
        <f t="shared" si="2"/>
        <v>6</v>
      </c>
    </row>
    <row r="104">
      <c r="A104" s="9">
        <v>102.0</v>
      </c>
      <c r="B104" s="9" t="s">
        <v>2249</v>
      </c>
      <c r="C104" s="9">
        <f t="shared" si="1"/>
        <v>7</v>
      </c>
      <c r="D104" s="9">
        <f t="shared" si="2"/>
        <v>7</v>
      </c>
    </row>
    <row r="105">
      <c r="A105" s="9">
        <v>103.0</v>
      </c>
      <c r="B105" s="9" t="s">
        <v>2250</v>
      </c>
      <c r="C105" s="9">
        <f t="shared" si="1"/>
        <v>7</v>
      </c>
      <c r="D105" s="9">
        <f t="shared" si="2"/>
        <v>8</v>
      </c>
    </row>
    <row r="106">
      <c r="A106" s="9">
        <v>104.0</v>
      </c>
      <c r="B106" s="9" t="s">
        <v>2251</v>
      </c>
      <c r="C106" s="9">
        <f t="shared" si="1"/>
        <v>7</v>
      </c>
      <c r="D106" s="9">
        <f t="shared" si="2"/>
        <v>9</v>
      </c>
    </row>
    <row r="107">
      <c r="A107" s="9">
        <v>105.0</v>
      </c>
      <c r="B107" s="9" t="s">
        <v>2252</v>
      </c>
      <c r="C107" s="9">
        <f t="shared" si="1"/>
        <v>7</v>
      </c>
      <c r="D107" s="9">
        <f t="shared" si="2"/>
        <v>10</v>
      </c>
    </row>
    <row r="108">
      <c r="A108" s="9">
        <v>106.0</v>
      </c>
      <c r="B108" s="9" t="s">
        <v>2253</v>
      </c>
      <c r="C108" s="9">
        <f t="shared" si="1"/>
        <v>7</v>
      </c>
      <c r="D108" s="9">
        <f t="shared" si="2"/>
        <v>11</v>
      </c>
    </row>
    <row r="109">
      <c r="A109" s="9">
        <v>107.0</v>
      </c>
      <c r="B109" s="9" t="s">
        <v>2254</v>
      </c>
      <c r="C109" s="9">
        <f t="shared" si="1"/>
        <v>7</v>
      </c>
      <c r="D109" s="9">
        <f t="shared" si="2"/>
        <v>12</v>
      </c>
    </row>
    <row r="110">
      <c r="A110" s="9">
        <v>108.0</v>
      </c>
      <c r="B110" s="9" t="s">
        <v>2255</v>
      </c>
      <c r="C110" s="9">
        <f t="shared" si="1"/>
        <v>7</v>
      </c>
      <c r="D110" s="9">
        <f t="shared" si="2"/>
        <v>13</v>
      </c>
    </row>
    <row r="111">
      <c r="A111" s="9">
        <v>109.0</v>
      </c>
      <c r="B111" s="9" t="s">
        <v>2256</v>
      </c>
      <c r="C111" s="9">
        <f t="shared" si="1"/>
        <v>7</v>
      </c>
      <c r="D111" s="9">
        <f t="shared" si="2"/>
        <v>14</v>
      </c>
    </row>
    <row r="112">
      <c r="A112" s="9">
        <v>110.0</v>
      </c>
      <c r="B112" s="9" t="s">
        <v>2257</v>
      </c>
      <c r="C112" s="9">
        <f t="shared" si="1"/>
        <v>7</v>
      </c>
      <c r="D112" s="9">
        <f t="shared" si="2"/>
        <v>15</v>
      </c>
    </row>
    <row r="113">
      <c r="A113" s="9">
        <v>111.0</v>
      </c>
      <c r="B113" s="9" t="s">
        <v>2258</v>
      </c>
      <c r="C113" s="9">
        <f t="shared" si="1"/>
        <v>7</v>
      </c>
      <c r="D113" s="9">
        <f t="shared" si="2"/>
        <v>16</v>
      </c>
    </row>
    <row r="114">
      <c r="A114" s="9">
        <v>112.0</v>
      </c>
      <c r="B114" s="9" t="s">
        <v>2307</v>
      </c>
      <c r="C114" s="9">
        <f t="shared" si="1"/>
        <v>8</v>
      </c>
      <c r="D114" s="9">
        <f t="shared" si="2"/>
        <v>1</v>
      </c>
    </row>
    <row r="115">
      <c r="A115" s="9">
        <v>113.0</v>
      </c>
      <c r="B115" s="9" t="s">
        <v>2308</v>
      </c>
      <c r="C115" s="9">
        <f t="shared" si="1"/>
        <v>8</v>
      </c>
      <c r="D115" s="9">
        <f t="shared" si="2"/>
        <v>2</v>
      </c>
    </row>
    <row r="116">
      <c r="A116" s="9">
        <v>114.0</v>
      </c>
      <c r="B116" s="9" t="s">
        <v>2309</v>
      </c>
      <c r="C116" s="9">
        <f t="shared" si="1"/>
        <v>8</v>
      </c>
      <c r="D116" s="9">
        <f t="shared" si="2"/>
        <v>3</v>
      </c>
    </row>
    <row r="117">
      <c r="A117" s="9">
        <v>115.0</v>
      </c>
      <c r="B117" s="9" t="s">
        <v>2310</v>
      </c>
      <c r="C117" s="9">
        <f t="shared" si="1"/>
        <v>8</v>
      </c>
      <c r="D117" s="9">
        <f t="shared" si="2"/>
        <v>4</v>
      </c>
    </row>
    <row r="118">
      <c r="A118" s="9">
        <v>116.0</v>
      </c>
      <c r="B118" s="9" t="s">
        <v>2311</v>
      </c>
      <c r="C118" s="9">
        <f t="shared" si="1"/>
        <v>8</v>
      </c>
      <c r="D118" s="9">
        <f t="shared" si="2"/>
        <v>5</v>
      </c>
    </row>
    <row r="119">
      <c r="A119" s="9">
        <v>117.0</v>
      </c>
      <c r="B119" s="9" t="s">
        <v>2312</v>
      </c>
      <c r="C119" s="9">
        <f t="shared" si="1"/>
        <v>8</v>
      </c>
      <c r="D119" s="9">
        <f t="shared" si="2"/>
        <v>6</v>
      </c>
    </row>
    <row r="120">
      <c r="A120" s="9">
        <v>118.0</v>
      </c>
      <c r="B120" s="9" t="s">
        <v>2313</v>
      </c>
      <c r="C120" s="9">
        <f t="shared" si="1"/>
        <v>8</v>
      </c>
      <c r="D120" s="9">
        <f t="shared" si="2"/>
        <v>7</v>
      </c>
    </row>
    <row r="121">
      <c r="A121" s="9">
        <v>119.0</v>
      </c>
      <c r="B121" s="9" t="s">
        <v>2314</v>
      </c>
      <c r="C121" s="9">
        <f t="shared" si="1"/>
        <v>8</v>
      </c>
      <c r="D121" s="9">
        <f t="shared" si="2"/>
        <v>8</v>
      </c>
    </row>
    <row r="122">
      <c r="A122" s="9">
        <v>120.0</v>
      </c>
      <c r="B122" s="9" t="s">
        <v>2315</v>
      </c>
      <c r="C122" s="9">
        <f t="shared" si="1"/>
        <v>8</v>
      </c>
      <c r="D122" s="9">
        <f t="shared" si="2"/>
        <v>9</v>
      </c>
    </row>
    <row r="123">
      <c r="A123" s="9">
        <v>121.0</v>
      </c>
      <c r="B123" s="9" t="s">
        <v>2316</v>
      </c>
      <c r="C123" s="9">
        <f t="shared" si="1"/>
        <v>8</v>
      </c>
      <c r="D123" s="9">
        <f t="shared" si="2"/>
        <v>10</v>
      </c>
    </row>
    <row r="124">
      <c r="A124" s="9">
        <v>122.0</v>
      </c>
      <c r="B124" s="9" t="s">
        <v>2317</v>
      </c>
      <c r="C124" s="9">
        <f t="shared" si="1"/>
        <v>8</v>
      </c>
      <c r="D124" s="9">
        <f t="shared" si="2"/>
        <v>11</v>
      </c>
    </row>
    <row r="125">
      <c r="A125" s="9">
        <v>123.0</v>
      </c>
      <c r="B125" s="9" t="s">
        <v>2318</v>
      </c>
      <c r="C125" s="9">
        <f t="shared" si="1"/>
        <v>8</v>
      </c>
      <c r="D125" s="9">
        <f t="shared" si="2"/>
        <v>12</v>
      </c>
    </row>
    <row r="126">
      <c r="A126" s="9">
        <v>124.0</v>
      </c>
      <c r="B126" s="9" t="s">
        <v>2319</v>
      </c>
      <c r="C126" s="9">
        <f t="shared" si="1"/>
        <v>8</v>
      </c>
      <c r="D126" s="9">
        <f t="shared" si="2"/>
        <v>13</v>
      </c>
    </row>
    <row r="127">
      <c r="A127" s="9">
        <v>125.0</v>
      </c>
      <c r="B127" s="9" t="s">
        <v>2320</v>
      </c>
      <c r="C127" s="9">
        <f t="shared" si="1"/>
        <v>8</v>
      </c>
      <c r="D127" s="9">
        <f t="shared" si="2"/>
        <v>14</v>
      </c>
    </row>
    <row r="128">
      <c r="A128" s="9">
        <v>126.0</v>
      </c>
      <c r="B128" s="9" t="s">
        <v>2321</v>
      </c>
      <c r="C128" s="9">
        <f t="shared" si="1"/>
        <v>8</v>
      </c>
      <c r="D128" s="9">
        <f t="shared" si="2"/>
        <v>15</v>
      </c>
    </row>
    <row r="129">
      <c r="A129" s="9">
        <v>127.0</v>
      </c>
      <c r="B129" s="9" t="s">
        <v>2322</v>
      </c>
      <c r="C129" s="9">
        <f t="shared" si="1"/>
        <v>8</v>
      </c>
      <c r="D129" s="9">
        <f t="shared" si="2"/>
        <v>16</v>
      </c>
    </row>
    <row r="130">
      <c r="A130" s="9">
        <v>128.0</v>
      </c>
      <c r="B130" s="9" t="s">
        <v>2131</v>
      </c>
      <c r="C130" s="9">
        <f t="shared" si="1"/>
        <v>9</v>
      </c>
      <c r="D130" s="9">
        <f t="shared" si="2"/>
        <v>1</v>
      </c>
    </row>
    <row r="131">
      <c r="A131" s="9">
        <v>129.0</v>
      </c>
      <c r="B131" s="9" t="s">
        <v>2132</v>
      </c>
      <c r="C131" s="9">
        <f t="shared" si="1"/>
        <v>9</v>
      </c>
      <c r="D131" s="9">
        <f t="shared" si="2"/>
        <v>2</v>
      </c>
    </row>
    <row r="132">
      <c r="A132" s="9">
        <v>130.0</v>
      </c>
      <c r="B132" s="9" t="s">
        <v>2133</v>
      </c>
      <c r="C132" s="9">
        <f t="shared" si="1"/>
        <v>9</v>
      </c>
      <c r="D132" s="9">
        <f t="shared" si="2"/>
        <v>3</v>
      </c>
    </row>
    <row r="133">
      <c r="A133" s="9">
        <v>131.0</v>
      </c>
      <c r="B133" s="9" t="s">
        <v>2134</v>
      </c>
      <c r="C133" s="9">
        <f t="shared" si="1"/>
        <v>9</v>
      </c>
      <c r="D133" s="9">
        <f t="shared" si="2"/>
        <v>4</v>
      </c>
    </row>
    <row r="134">
      <c r="A134" s="9">
        <v>132.0</v>
      </c>
      <c r="B134" s="9" t="s">
        <v>2135</v>
      </c>
      <c r="C134" s="9">
        <f t="shared" si="1"/>
        <v>9</v>
      </c>
      <c r="D134" s="9">
        <f t="shared" si="2"/>
        <v>5</v>
      </c>
    </row>
    <row r="135">
      <c r="A135" s="9">
        <v>133.0</v>
      </c>
      <c r="B135" s="9" t="s">
        <v>2136</v>
      </c>
      <c r="C135" s="9">
        <f t="shared" si="1"/>
        <v>9</v>
      </c>
      <c r="D135" s="9">
        <f t="shared" si="2"/>
        <v>6</v>
      </c>
    </row>
    <row r="136">
      <c r="A136" s="9">
        <v>134.0</v>
      </c>
      <c r="B136" s="9" t="s">
        <v>2137</v>
      </c>
      <c r="C136" s="9">
        <f t="shared" si="1"/>
        <v>9</v>
      </c>
      <c r="D136" s="9">
        <f t="shared" si="2"/>
        <v>7</v>
      </c>
    </row>
    <row r="137">
      <c r="A137" s="9">
        <v>135.0</v>
      </c>
      <c r="B137" s="9" t="s">
        <v>2138</v>
      </c>
      <c r="C137" s="9">
        <f t="shared" si="1"/>
        <v>9</v>
      </c>
      <c r="D137" s="9">
        <f t="shared" si="2"/>
        <v>8</v>
      </c>
    </row>
    <row r="138">
      <c r="A138" s="9">
        <v>136.0</v>
      </c>
      <c r="B138" s="9" t="s">
        <v>2139</v>
      </c>
      <c r="C138" s="9">
        <f t="shared" si="1"/>
        <v>9</v>
      </c>
      <c r="D138" s="9">
        <f t="shared" si="2"/>
        <v>9</v>
      </c>
    </row>
    <row r="139">
      <c r="A139" s="9">
        <v>137.0</v>
      </c>
      <c r="B139" s="9" t="s">
        <v>2140</v>
      </c>
      <c r="C139" s="9">
        <f t="shared" si="1"/>
        <v>9</v>
      </c>
      <c r="D139" s="9">
        <f t="shared" si="2"/>
        <v>10</v>
      </c>
    </row>
    <row r="140">
      <c r="A140" s="9">
        <v>138.0</v>
      </c>
      <c r="B140" s="9" t="s">
        <v>2141</v>
      </c>
      <c r="C140" s="9">
        <f t="shared" si="1"/>
        <v>9</v>
      </c>
      <c r="D140" s="9">
        <f t="shared" si="2"/>
        <v>11</v>
      </c>
    </row>
    <row r="141">
      <c r="A141" s="9">
        <v>139.0</v>
      </c>
      <c r="B141" s="9" t="s">
        <v>2142</v>
      </c>
      <c r="C141" s="9">
        <f t="shared" si="1"/>
        <v>9</v>
      </c>
      <c r="D141" s="9">
        <f t="shared" si="2"/>
        <v>12</v>
      </c>
    </row>
    <row r="142">
      <c r="A142" s="9">
        <v>140.0</v>
      </c>
      <c r="B142" s="9" t="s">
        <v>2143</v>
      </c>
      <c r="C142" s="9">
        <f t="shared" si="1"/>
        <v>9</v>
      </c>
      <c r="D142" s="9">
        <f t="shared" si="2"/>
        <v>13</v>
      </c>
    </row>
    <row r="143">
      <c r="A143" s="9">
        <v>141.0</v>
      </c>
      <c r="B143" s="9" t="s">
        <v>2144</v>
      </c>
      <c r="C143" s="9">
        <f t="shared" si="1"/>
        <v>9</v>
      </c>
      <c r="D143" s="9">
        <f t="shared" si="2"/>
        <v>14</v>
      </c>
    </row>
    <row r="144">
      <c r="A144" s="9">
        <v>142.0</v>
      </c>
      <c r="B144" s="9" t="s">
        <v>2145</v>
      </c>
      <c r="C144" s="9">
        <f t="shared" si="1"/>
        <v>9</v>
      </c>
      <c r="D144" s="9">
        <f t="shared" si="2"/>
        <v>15</v>
      </c>
    </row>
    <row r="145">
      <c r="A145" s="9">
        <v>143.0</v>
      </c>
      <c r="B145" s="9" t="s">
        <v>2146</v>
      </c>
      <c r="C145" s="9">
        <f t="shared" si="1"/>
        <v>9</v>
      </c>
      <c r="D145" s="9">
        <f t="shared" si="2"/>
        <v>16</v>
      </c>
    </row>
    <row r="146">
      <c r="A146" s="9">
        <v>144.0</v>
      </c>
      <c r="B146" s="9" t="s">
        <v>2195</v>
      </c>
      <c r="C146" s="9">
        <f t="shared" si="1"/>
        <v>10</v>
      </c>
      <c r="D146" s="9">
        <f t="shared" si="2"/>
        <v>1</v>
      </c>
    </row>
    <row r="147">
      <c r="A147" s="9">
        <v>145.0</v>
      </c>
      <c r="B147" s="9" t="s">
        <v>2196</v>
      </c>
      <c r="C147" s="9">
        <f t="shared" si="1"/>
        <v>10</v>
      </c>
      <c r="D147" s="9">
        <f t="shared" si="2"/>
        <v>2</v>
      </c>
    </row>
    <row r="148">
      <c r="A148" s="9">
        <v>146.0</v>
      </c>
      <c r="B148" s="9" t="s">
        <v>2197</v>
      </c>
      <c r="C148" s="9">
        <f t="shared" si="1"/>
        <v>10</v>
      </c>
      <c r="D148" s="9">
        <f t="shared" si="2"/>
        <v>3</v>
      </c>
    </row>
    <row r="149">
      <c r="A149" s="9">
        <v>147.0</v>
      </c>
      <c r="B149" s="9" t="s">
        <v>2198</v>
      </c>
      <c r="C149" s="9">
        <f t="shared" si="1"/>
        <v>10</v>
      </c>
      <c r="D149" s="9">
        <f t="shared" si="2"/>
        <v>4</v>
      </c>
    </row>
    <row r="150">
      <c r="A150" s="9">
        <v>148.0</v>
      </c>
      <c r="B150" s="9" t="s">
        <v>2199</v>
      </c>
      <c r="C150" s="9">
        <f t="shared" si="1"/>
        <v>10</v>
      </c>
      <c r="D150" s="9">
        <f t="shared" si="2"/>
        <v>5</v>
      </c>
    </row>
    <row r="151">
      <c r="A151" s="9">
        <v>149.0</v>
      </c>
      <c r="B151" s="9" t="s">
        <v>2200</v>
      </c>
      <c r="C151" s="9">
        <f t="shared" si="1"/>
        <v>10</v>
      </c>
      <c r="D151" s="9">
        <f t="shared" si="2"/>
        <v>6</v>
      </c>
    </row>
    <row r="152">
      <c r="A152" s="9">
        <v>150.0</v>
      </c>
      <c r="B152" s="9" t="s">
        <v>2201</v>
      </c>
      <c r="C152" s="9">
        <f t="shared" si="1"/>
        <v>10</v>
      </c>
      <c r="D152" s="9">
        <f t="shared" si="2"/>
        <v>7</v>
      </c>
    </row>
    <row r="153">
      <c r="A153" s="9">
        <v>151.0</v>
      </c>
      <c r="B153" s="9" t="s">
        <v>2202</v>
      </c>
      <c r="C153" s="9">
        <f t="shared" si="1"/>
        <v>10</v>
      </c>
      <c r="D153" s="9">
        <f t="shared" si="2"/>
        <v>8</v>
      </c>
    </row>
    <row r="154">
      <c r="A154" s="9">
        <v>152.0</v>
      </c>
      <c r="B154" s="9" t="s">
        <v>2203</v>
      </c>
      <c r="C154" s="9">
        <f t="shared" si="1"/>
        <v>10</v>
      </c>
      <c r="D154" s="9">
        <f t="shared" si="2"/>
        <v>9</v>
      </c>
    </row>
    <row r="155">
      <c r="A155" s="9">
        <v>153.0</v>
      </c>
      <c r="B155" s="9" t="s">
        <v>2204</v>
      </c>
      <c r="C155" s="9">
        <f t="shared" si="1"/>
        <v>10</v>
      </c>
      <c r="D155" s="9">
        <f t="shared" si="2"/>
        <v>10</v>
      </c>
    </row>
    <row r="156">
      <c r="A156" s="9">
        <v>154.0</v>
      </c>
      <c r="B156" s="9" t="s">
        <v>2205</v>
      </c>
      <c r="C156" s="9">
        <f t="shared" si="1"/>
        <v>10</v>
      </c>
      <c r="D156" s="9">
        <f t="shared" si="2"/>
        <v>11</v>
      </c>
    </row>
    <row r="157">
      <c r="A157" s="9">
        <v>155.0</v>
      </c>
      <c r="B157" s="9" t="s">
        <v>2206</v>
      </c>
      <c r="C157" s="9">
        <f t="shared" si="1"/>
        <v>10</v>
      </c>
      <c r="D157" s="9">
        <f t="shared" si="2"/>
        <v>12</v>
      </c>
    </row>
    <row r="158">
      <c r="A158" s="9">
        <v>156.0</v>
      </c>
      <c r="B158" s="9" t="s">
        <v>2207</v>
      </c>
      <c r="C158" s="9">
        <f t="shared" si="1"/>
        <v>10</v>
      </c>
      <c r="D158" s="9">
        <f t="shared" si="2"/>
        <v>13</v>
      </c>
    </row>
    <row r="159">
      <c r="A159" s="9">
        <v>157.0</v>
      </c>
      <c r="B159" s="9" t="s">
        <v>2208</v>
      </c>
      <c r="C159" s="9">
        <f t="shared" si="1"/>
        <v>10</v>
      </c>
      <c r="D159" s="9">
        <f t="shared" si="2"/>
        <v>14</v>
      </c>
    </row>
    <row r="160">
      <c r="A160" s="9">
        <v>158.0</v>
      </c>
      <c r="B160" s="9" t="s">
        <v>2209</v>
      </c>
      <c r="C160" s="9">
        <f t="shared" si="1"/>
        <v>10</v>
      </c>
      <c r="D160" s="9">
        <f t="shared" si="2"/>
        <v>15</v>
      </c>
    </row>
    <row r="161">
      <c r="A161" s="9">
        <v>159.0</v>
      </c>
      <c r="B161" s="9" t="s">
        <v>2210</v>
      </c>
      <c r="C161" s="9">
        <f t="shared" si="1"/>
        <v>10</v>
      </c>
      <c r="D161" s="9">
        <f t="shared" si="2"/>
        <v>16</v>
      </c>
    </row>
    <row r="162">
      <c r="A162" s="9">
        <v>160.0</v>
      </c>
      <c r="B162" s="9" t="s">
        <v>2259</v>
      </c>
      <c r="C162" s="9">
        <f t="shared" si="1"/>
        <v>11</v>
      </c>
      <c r="D162" s="9">
        <f t="shared" si="2"/>
        <v>1</v>
      </c>
    </row>
    <row r="163">
      <c r="A163" s="9">
        <v>161.0</v>
      </c>
      <c r="B163" s="9" t="s">
        <v>2260</v>
      </c>
      <c r="C163" s="9">
        <f t="shared" si="1"/>
        <v>11</v>
      </c>
      <c r="D163" s="9">
        <f t="shared" si="2"/>
        <v>2</v>
      </c>
    </row>
    <row r="164">
      <c r="A164" s="9">
        <v>162.0</v>
      </c>
      <c r="B164" s="9" t="s">
        <v>2261</v>
      </c>
      <c r="C164" s="9">
        <f t="shared" si="1"/>
        <v>11</v>
      </c>
      <c r="D164" s="9">
        <f t="shared" si="2"/>
        <v>3</v>
      </c>
    </row>
    <row r="165">
      <c r="A165" s="9">
        <v>163.0</v>
      </c>
      <c r="B165" s="9" t="s">
        <v>2262</v>
      </c>
      <c r="C165" s="9">
        <f t="shared" si="1"/>
        <v>11</v>
      </c>
      <c r="D165" s="9">
        <f t="shared" si="2"/>
        <v>4</v>
      </c>
    </row>
    <row r="166">
      <c r="A166" s="9">
        <v>164.0</v>
      </c>
      <c r="B166" s="9" t="s">
        <v>2263</v>
      </c>
      <c r="C166" s="9">
        <f t="shared" si="1"/>
        <v>11</v>
      </c>
      <c r="D166" s="9">
        <f t="shared" si="2"/>
        <v>5</v>
      </c>
    </row>
    <row r="167">
      <c r="A167" s="9">
        <v>165.0</v>
      </c>
      <c r="B167" s="9" t="s">
        <v>2264</v>
      </c>
      <c r="C167" s="9">
        <f t="shared" si="1"/>
        <v>11</v>
      </c>
      <c r="D167" s="9">
        <f t="shared" si="2"/>
        <v>6</v>
      </c>
    </row>
    <row r="168">
      <c r="A168" s="9">
        <v>166.0</v>
      </c>
      <c r="B168" s="9" t="s">
        <v>2265</v>
      </c>
      <c r="C168" s="9">
        <f t="shared" si="1"/>
        <v>11</v>
      </c>
      <c r="D168" s="9">
        <f t="shared" si="2"/>
        <v>7</v>
      </c>
    </row>
    <row r="169">
      <c r="A169" s="9">
        <v>167.0</v>
      </c>
      <c r="B169" s="9" t="s">
        <v>2266</v>
      </c>
      <c r="C169" s="9">
        <f t="shared" si="1"/>
        <v>11</v>
      </c>
      <c r="D169" s="9">
        <f t="shared" si="2"/>
        <v>8</v>
      </c>
    </row>
    <row r="170">
      <c r="A170" s="9">
        <v>168.0</v>
      </c>
      <c r="B170" s="9" t="s">
        <v>2267</v>
      </c>
      <c r="C170" s="9">
        <f t="shared" si="1"/>
        <v>11</v>
      </c>
      <c r="D170" s="9">
        <f t="shared" si="2"/>
        <v>9</v>
      </c>
    </row>
    <row r="171">
      <c r="A171" s="9">
        <v>169.0</v>
      </c>
      <c r="B171" s="9" t="s">
        <v>2268</v>
      </c>
      <c r="C171" s="9">
        <f t="shared" si="1"/>
        <v>11</v>
      </c>
      <c r="D171" s="9">
        <f t="shared" si="2"/>
        <v>10</v>
      </c>
    </row>
    <row r="172">
      <c r="A172" s="9">
        <v>170.0</v>
      </c>
      <c r="B172" s="9" t="s">
        <v>2269</v>
      </c>
      <c r="C172" s="9">
        <f t="shared" si="1"/>
        <v>11</v>
      </c>
      <c r="D172" s="9">
        <f t="shared" si="2"/>
        <v>11</v>
      </c>
    </row>
    <row r="173">
      <c r="A173" s="9">
        <v>171.0</v>
      </c>
      <c r="B173" s="9" t="s">
        <v>2270</v>
      </c>
      <c r="C173" s="9">
        <f t="shared" si="1"/>
        <v>11</v>
      </c>
      <c r="D173" s="9">
        <f t="shared" si="2"/>
        <v>12</v>
      </c>
    </row>
    <row r="174">
      <c r="A174" s="9">
        <v>172.0</v>
      </c>
      <c r="B174" s="9" t="s">
        <v>2271</v>
      </c>
      <c r="C174" s="9">
        <f t="shared" si="1"/>
        <v>11</v>
      </c>
      <c r="D174" s="9">
        <f t="shared" si="2"/>
        <v>13</v>
      </c>
    </row>
    <row r="175">
      <c r="A175" s="9">
        <v>173.0</v>
      </c>
      <c r="B175" s="9" t="s">
        <v>2272</v>
      </c>
      <c r="C175" s="9">
        <f t="shared" si="1"/>
        <v>11</v>
      </c>
      <c r="D175" s="9">
        <f t="shared" si="2"/>
        <v>14</v>
      </c>
    </row>
    <row r="176">
      <c r="A176" s="9">
        <v>174.0</v>
      </c>
      <c r="B176" s="9" t="s">
        <v>2273</v>
      </c>
      <c r="C176" s="9">
        <f t="shared" si="1"/>
        <v>11</v>
      </c>
      <c r="D176" s="9">
        <f t="shared" si="2"/>
        <v>15</v>
      </c>
    </row>
    <row r="177">
      <c r="A177" s="9">
        <v>175.0</v>
      </c>
      <c r="B177" s="9" t="s">
        <v>2274</v>
      </c>
      <c r="C177" s="9">
        <f t="shared" si="1"/>
        <v>11</v>
      </c>
      <c r="D177" s="9">
        <f t="shared" si="2"/>
        <v>16</v>
      </c>
    </row>
    <row r="178">
      <c r="A178" s="9">
        <v>176.0</v>
      </c>
      <c r="B178" s="9" t="s">
        <v>2323</v>
      </c>
      <c r="C178" s="9">
        <f t="shared" si="1"/>
        <v>12</v>
      </c>
      <c r="D178" s="9">
        <f t="shared" si="2"/>
        <v>1</v>
      </c>
    </row>
    <row r="179">
      <c r="A179" s="9">
        <v>177.0</v>
      </c>
      <c r="B179" s="9" t="s">
        <v>2324</v>
      </c>
      <c r="C179" s="9">
        <f t="shared" si="1"/>
        <v>12</v>
      </c>
      <c r="D179" s="9">
        <f t="shared" si="2"/>
        <v>2</v>
      </c>
    </row>
    <row r="180">
      <c r="A180" s="9">
        <v>178.0</v>
      </c>
      <c r="B180" s="9" t="s">
        <v>2325</v>
      </c>
      <c r="C180" s="9">
        <f t="shared" si="1"/>
        <v>12</v>
      </c>
      <c r="D180" s="9">
        <f t="shared" si="2"/>
        <v>3</v>
      </c>
    </row>
    <row r="181">
      <c r="A181" s="9">
        <v>179.0</v>
      </c>
      <c r="B181" s="9" t="s">
        <v>2326</v>
      </c>
      <c r="C181" s="9">
        <f t="shared" si="1"/>
        <v>12</v>
      </c>
      <c r="D181" s="9">
        <f t="shared" si="2"/>
        <v>4</v>
      </c>
    </row>
    <row r="182">
      <c r="A182" s="9">
        <v>180.0</v>
      </c>
      <c r="B182" s="9" t="s">
        <v>2327</v>
      </c>
      <c r="C182" s="9">
        <f t="shared" si="1"/>
        <v>12</v>
      </c>
      <c r="D182" s="9">
        <f t="shared" si="2"/>
        <v>5</v>
      </c>
    </row>
    <row r="183">
      <c r="A183" s="9">
        <v>181.0</v>
      </c>
      <c r="B183" s="9" t="s">
        <v>2328</v>
      </c>
      <c r="C183" s="9">
        <f t="shared" si="1"/>
        <v>12</v>
      </c>
      <c r="D183" s="9">
        <f t="shared" si="2"/>
        <v>6</v>
      </c>
    </row>
    <row r="184">
      <c r="A184" s="9">
        <v>182.0</v>
      </c>
      <c r="B184" s="9" t="s">
        <v>2329</v>
      </c>
      <c r="C184" s="9">
        <f t="shared" si="1"/>
        <v>12</v>
      </c>
      <c r="D184" s="9">
        <f t="shared" si="2"/>
        <v>7</v>
      </c>
    </row>
    <row r="185">
      <c r="A185" s="9">
        <v>183.0</v>
      </c>
      <c r="B185" s="9" t="s">
        <v>2330</v>
      </c>
      <c r="C185" s="9">
        <f t="shared" si="1"/>
        <v>12</v>
      </c>
      <c r="D185" s="9">
        <f t="shared" si="2"/>
        <v>8</v>
      </c>
    </row>
    <row r="186">
      <c r="A186" s="9">
        <v>184.0</v>
      </c>
      <c r="B186" s="9" t="s">
        <v>2331</v>
      </c>
      <c r="C186" s="9">
        <f t="shared" si="1"/>
        <v>12</v>
      </c>
      <c r="D186" s="9">
        <f t="shared" si="2"/>
        <v>9</v>
      </c>
    </row>
    <row r="187">
      <c r="A187" s="9">
        <v>185.0</v>
      </c>
      <c r="B187" s="9" t="s">
        <v>2332</v>
      </c>
      <c r="C187" s="9">
        <f t="shared" si="1"/>
        <v>12</v>
      </c>
      <c r="D187" s="9">
        <f t="shared" si="2"/>
        <v>10</v>
      </c>
    </row>
    <row r="188">
      <c r="A188" s="9">
        <v>186.0</v>
      </c>
      <c r="B188" s="9" t="s">
        <v>2333</v>
      </c>
      <c r="C188" s="9">
        <f t="shared" si="1"/>
        <v>12</v>
      </c>
      <c r="D188" s="9">
        <f t="shared" si="2"/>
        <v>11</v>
      </c>
    </row>
    <row r="189">
      <c r="A189" s="9">
        <v>187.0</v>
      </c>
      <c r="B189" s="9" t="s">
        <v>2334</v>
      </c>
      <c r="C189" s="9">
        <f t="shared" si="1"/>
        <v>12</v>
      </c>
      <c r="D189" s="9">
        <f t="shared" si="2"/>
        <v>12</v>
      </c>
    </row>
    <row r="190">
      <c r="A190" s="9">
        <v>188.0</v>
      </c>
      <c r="B190" s="9" t="s">
        <v>2335</v>
      </c>
      <c r="C190" s="9">
        <f t="shared" si="1"/>
        <v>12</v>
      </c>
      <c r="D190" s="9">
        <f t="shared" si="2"/>
        <v>13</v>
      </c>
    </row>
    <row r="191">
      <c r="A191" s="9">
        <v>189.0</v>
      </c>
      <c r="B191" s="9" t="s">
        <v>2336</v>
      </c>
      <c r="C191" s="9">
        <f t="shared" si="1"/>
        <v>12</v>
      </c>
      <c r="D191" s="9">
        <f t="shared" si="2"/>
        <v>14</v>
      </c>
    </row>
    <row r="192">
      <c r="A192" s="9">
        <v>190.0</v>
      </c>
      <c r="B192" s="9" t="s">
        <v>2337</v>
      </c>
      <c r="C192" s="9">
        <f t="shared" si="1"/>
        <v>12</v>
      </c>
      <c r="D192" s="9">
        <f t="shared" si="2"/>
        <v>15</v>
      </c>
    </row>
    <row r="193">
      <c r="A193" s="9">
        <v>191.0</v>
      </c>
      <c r="B193" s="9" t="s">
        <v>2338</v>
      </c>
      <c r="C193" s="9">
        <f t="shared" si="1"/>
        <v>12</v>
      </c>
      <c r="D193" s="9">
        <f t="shared" si="2"/>
        <v>16</v>
      </c>
    </row>
    <row r="194">
      <c r="A194" s="9">
        <v>192.0</v>
      </c>
      <c r="B194" s="9" t="s">
        <v>2147</v>
      </c>
      <c r="C194" s="9">
        <f t="shared" si="1"/>
        <v>13</v>
      </c>
      <c r="D194" s="9">
        <f t="shared" si="2"/>
        <v>1</v>
      </c>
    </row>
    <row r="195">
      <c r="A195" s="9">
        <v>193.0</v>
      </c>
      <c r="B195" s="9" t="s">
        <v>2148</v>
      </c>
      <c r="C195" s="9">
        <f t="shared" si="1"/>
        <v>13</v>
      </c>
      <c r="D195" s="9">
        <f t="shared" si="2"/>
        <v>2</v>
      </c>
    </row>
    <row r="196">
      <c r="A196" s="9">
        <v>194.0</v>
      </c>
      <c r="B196" s="9" t="s">
        <v>2149</v>
      </c>
      <c r="C196" s="9">
        <f t="shared" si="1"/>
        <v>13</v>
      </c>
      <c r="D196" s="9">
        <f t="shared" si="2"/>
        <v>3</v>
      </c>
    </row>
    <row r="197">
      <c r="A197" s="9">
        <v>195.0</v>
      </c>
      <c r="B197" s="9" t="s">
        <v>2150</v>
      </c>
      <c r="C197" s="9">
        <f t="shared" si="1"/>
        <v>13</v>
      </c>
      <c r="D197" s="9">
        <f t="shared" si="2"/>
        <v>4</v>
      </c>
    </row>
    <row r="198">
      <c r="A198" s="9">
        <v>196.0</v>
      </c>
      <c r="B198" s="9" t="s">
        <v>2151</v>
      </c>
      <c r="C198" s="9">
        <f t="shared" si="1"/>
        <v>13</v>
      </c>
      <c r="D198" s="9">
        <f t="shared" si="2"/>
        <v>5</v>
      </c>
    </row>
    <row r="199">
      <c r="A199" s="9">
        <v>197.0</v>
      </c>
      <c r="B199" s="9" t="s">
        <v>2152</v>
      </c>
      <c r="C199" s="9">
        <f t="shared" si="1"/>
        <v>13</v>
      </c>
      <c r="D199" s="9">
        <f t="shared" si="2"/>
        <v>6</v>
      </c>
    </row>
    <row r="200">
      <c r="A200" s="9">
        <v>198.0</v>
      </c>
      <c r="B200" s="9" t="s">
        <v>2153</v>
      </c>
      <c r="C200" s="9">
        <f t="shared" si="1"/>
        <v>13</v>
      </c>
      <c r="D200" s="9">
        <f t="shared" si="2"/>
        <v>7</v>
      </c>
    </row>
    <row r="201">
      <c r="A201" s="9">
        <v>199.0</v>
      </c>
      <c r="B201" s="9" t="s">
        <v>2154</v>
      </c>
      <c r="C201" s="9">
        <f t="shared" si="1"/>
        <v>13</v>
      </c>
      <c r="D201" s="9">
        <f t="shared" si="2"/>
        <v>8</v>
      </c>
    </row>
    <row r="202">
      <c r="A202" s="9">
        <v>200.0</v>
      </c>
      <c r="B202" s="9" t="s">
        <v>2155</v>
      </c>
      <c r="C202" s="9">
        <f t="shared" si="1"/>
        <v>13</v>
      </c>
      <c r="D202" s="9">
        <f t="shared" si="2"/>
        <v>9</v>
      </c>
    </row>
    <row r="203">
      <c r="A203" s="9">
        <v>201.0</v>
      </c>
      <c r="B203" s="9" t="s">
        <v>2156</v>
      </c>
      <c r="C203" s="9">
        <f t="shared" si="1"/>
        <v>13</v>
      </c>
      <c r="D203" s="9">
        <f t="shared" si="2"/>
        <v>10</v>
      </c>
    </row>
    <row r="204">
      <c r="A204" s="9">
        <v>202.0</v>
      </c>
      <c r="B204" s="9" t="s">
        <v>2157</v>
      </c>
      <c r="C204" s="9">
        <f t="shared" si="1"/>
        <v>13</v>
      </c>
      <c r="D204" s="9">
        <f t="shared" si="2"/>
        <v>11</v>
      </c>
    </row>
    <row r="205">
      <c r="A205" s="9">
        <v>203.0</v>
      </c>
      <c r="B205" s="9" t="s">
        <v>2158</v>
      </c>
      <c r="C205" s="9">
        <f t="shared" si="1"/>
        <v>13</v>
      </c>
      <c r="D205" s="9">
        <f t="shared" si="2"/>
        <v>12</v>
      </c>
    </row>
    <row r="206">
      <c r="A206" s="9">
        <v>204.0</v>
      </c>
      <c r="B206" s="9" t="s">
        <v>2159</v>
      </c>
      <c r="C206" s="9">
        <f t="shared" si="1"/>
        <v>13</v>
      </c>
      <c r="D206" s="9">
        <f t="shared" si="2"/>
        <v>13</v>
      </c>
    </row>
    <row r="207">
      <c r="A207" s="9">
        <v>205.0</v>
      </c>
      <c r="B207" s="9" t="s">
        <v>2160</v>
      </c>
      <c r="C207" s="9">
        <f t="shared" si="1"/>
        <v>13</v>
      </c>
      <c r="D207" s="9">
        <f t="shared" si="2"/>
        <v>14</v>
      </c>
    </row>
    <row r="208">
      <c r="A208" s="9">
        <v>206.0</v>
      </c>
      <c r="B208" s="9" t="s">
        <v>2161</v>
      </c>
      <c r="C208" s="9">
        <f t="shared" si="1"/>
        <v>13</v>
      </c>
      <c r="D208" s="9">
        <f t="shared" si="2"/>
        <v>15</v>
      </c>
    </row>
    <row r="209">
      <c r="A209" s="9">
        <v>207.0</v>
      </c>
      <c r="B209" s="9" t="s">
        <v>2162</v>
      </c>
      <c r="C209" s="9">
        <f t="shared" si="1"/>
        <v>13</v>
      </c>
      <c r="D209" s="9">
        <f t="shared" si="2"/>
        <v>16</v>
      </c>
    </row>
    <row r="210">
      <c r="A210" s="9">
        <v>208.0</v>
      </c>
      <c r="B210" s="9" t="s">
        <v>2211</v>
      </c>
      <c r="C210" s="9">
        <f t="shared" si="1"/>
        <v>14</v>
      </c>
      <c r="D210" s="9">
        <f t="shared" si="2"/>
        <v>1</v>
      </c>
    </row>
    <row r="211">
      <c r="A211" s="9">
        <v>209.0</v>
      </c>
      <c r="B211" s="9" t="s">
        <v>2212</v>
      </c>
      <c r="C211" s="9">
        <f t="shared" si="1"/>
        <v>14</v>
      </c>
      <c r="D211" s="9">
        <f t="shared" si="2"/>
        <v>2</v>
      </c>
    </row>
    <row r="212">
      <c r="A212" s="9">
        <v>210.0</v>
      </c>
      <c r="B212" s="9" t="s">
        <v>2213</v>
      </c>
      <c r="C212" s="9">
        <f t="shared" si="1"/>
        <v>14</v>
      </c>
      <c r="D212" s="9">
        <f t="shared" si="2"/>
        <v>3</v>
      </c>
    </row>
    <row r="213">
      <c r="A213" s="9">
        <v>211.0</v>
      </c>
      <c r="B213" s="9" t="s">
        <v>2214</v>
      </c>
      <c r="C213" s="9">
        <f t="shared" si="1"/>
        <v>14</v>
      </c>
      <c r="D213" s="9">
        <f t="shared" si="2"/>
        <v>4</v>
      </c>
    </row>
    <row r="214">
      <c r="A214" s="9">
        <v>212.0</v>
      </c>
      <c r="B214" s="9" t="s">
        <v>2215</v>
      </c>
      <c r="C214" s="9">
        <f t="shared" si="1"/>
        <v>14</v>
      </c>
      <c r="D214" s="9">
        <f t="shared" si="2"/>
        <v>5</v>
      </c>
    </row>
    <row r="215">
      <c r="A215" s="9">
        <v>213.0</v>
      </c>
      <c r="B215" s="9" t="s">
        <v>2216</v>
      </c>
      <c r="C215" s="9">
        <f t="shared" si="1"/>
        <v>14</v>
      </c>
      <c r="D215" s="9">
        <f t="shared" si="2"/>
        <v>6</v>
      </c>
    </row>
    <row r="216">
      <c r="A216" s="9">
        <v>214.0</v>
      </c>
      <c r="B216" s="9" t="s">
        <v>2217</v>
      </c>
      <c r="C216" s="9">
        <f t="shared" si="1"/>
        <v>14</v>
      </c>
      <c r="D216" s="9">
        <f t="shared" si="2"/>
        <v>7</v>
      </c>
    </row>
    <row r="217">
      <c r="A217" s="9">
        <v>215.0</v>
      </c>
      <c r="B217" s="9" t="s">
        <v>2218</v>
      </c>
      <c r="C217" s="9">
        <f t="shared" si="1"/>
        <v>14</v>
      </c>
      <c r="D217" s="9">
        <f t="shared" si="2"/>
        <v>8</v>
      </c>
    </row>
    <row r="218">
      <c r="A218" s="9">
        <v>216.0</v>
      </c>
      <c r="B218" s="9" t="s">
        <v>2219</v>
      </c>
      <c r="C218" s="9">
        <f t="shared" si="1"/>
        <v>14</v>
      </c>
      <c r="D218" s="9">
        <f t="shared" si="2"/>
        <v>9</v>
      </c>
    </row>
    <row r="219">
      <c r="A219" s="9">
        <v>217.0</v>
      </c>
      <c r="B219" s="9" t="s">
        <v>2220</v>
      </c>
      <c r="C219" s="9">
        <f t="shared" si="1"/>
        <v>14</v>
      </c>
      <c r="D219" s="9">
        <f t="shared" si="2"/>
        <v>10</v>
      </c>
    </row>
    <row r="220">
      <c r="A220" s="9">
        <v>218.0</v>
      </c>
      <c r="B220" s="9" t="s">
        <v>2221</v>
      </c>
      <c r="C220" s="9">
        <f t="shared" si="1"/>
        <v>14</v>
      </c>
      <c r="D220" s="9">
        <f t="shared" si="2"/>
        <v>11</v>
      </c>
    </row>
    <row r="221">
      <c r="A221" s="9">
        <v>219.0</v>
      </c>
      <c r="B221" s="9" t="s">
        <v>2222</v>
      </c>
      <c r="C221" s="9">
        <f t="shared" si="1"/>
        <v>14</v>
      </c>
      <c r="D221" s="9">
        <f t="shared" si="2"/>
        <v>12</v>
      </c>
    </row>
    <row r="222">
      <c r="A222" s="9">
        <v>220.0</v>
      </c>
      <c r="B222" s="9" t="s">
        <v>2223</v>
      </c>
      <c r="C222" s="9">
        <f t="shared" si="1"/>
        <v>14</v>
      </c>
      <c r="D222" s="9">
        <f t="shared" si="2"/>
        <v>13</v>
      </c>
    </row>
    <row r="223">
      <c r="A223" s="9">
        <v>221.0</v>
      </c>
      <c r="B223" s="9" t="s">
        <v>2224</v>
      </c>
      <c r="C223" s="9">
        <f t="shared" si="1"/>
        <v>14</v>
      </c>
      <c r="D223" s="9">
        <f t="shared" si="2"/>
        <v>14</v>
      </c>
    </row>
    <row r="224">
      <c r="A224" s="9">
        <v>222.0</v>
      </c>
      <c r="B224" s="9" t="s">
        <v>2225</v>
      </c>
      <c r="C224" s="9">
        <f t="shared" si="1"/>
        <v>14</v>
      </c>
      <c r="D224" s="9">
        <f t="shared" si="2"/>
        <v>15</v>
      </c>
    </row>
    <row r="225">
      <c r="A225" s="9">
        <v>223.0</v>
      </c>
      <c r="B225" s="9" t="s">
        <v>2226</v>
      </c>
      <c r="C225" s="9">
        <f t="shared" si="1"/>
        <v>14</v>
      </c>
      <c r="D225" s="9">
        <f t="shared" si="2"/>
        <v>16</v>
      </c>
    </row>
    <row r="226">
      <c r="A226" s="9">
        <v>224.0</v>
      </c>
      <c r="B226" s="9" t="s">
        <v>2275</v>
      </c>
      <c r="C226" s="9">
        <f t="shared" si="1"/>
        <v>15</v>
      </c>
      <c r="D226" s="9">
        <f t="shared" si="2"/>
        <v>1</v>
      </c>
    </row>
    <row r="227">
      <c r="A227" s="9">
        <v>225.0</v>
      </c>
      <c r="B227" s="9" t="s">
        <v>2276</v>
      </c>
      <c r="C227" s="9">
        <f t="shared" si="1"/>
        <v>15</v>
      </c>
      <c r="D227" s="9">
        <f t="shared" si="2"/>
        <v>2</v>
      </c>
    </row>
    <row r="228">
      <c r="A228" s="9">
        <v>226.0</v>
      </c>
      <c r="B228" s="9" t="s">
        <v>2277</v>
      </c>
      <c r="C228" s="9">
        <f t="shared" si="1"/>
        <v>15</v>
      </c>
      <c r="D228" s="9">
        <f t="shared" si="2"/>
        <v>3</v>
      </c>
    </row>
    <row r="229">
      <c r="A229" s="9">
        <v>227.0</v>
      </c>
      <c r="B229" s="9" t="s">
        <v>2278</v>
      </c>
      <c r="C229" s="9">
        <f t="shared" si="1"/>
        <v>15</v>
      </c>
      <c r="D229" s="9">
        <f t="shared" si="2"/>
        <v>4</v>
      </c>
    </row>
    <row r="230">
      <c r="A230" s="9">
        <v>228.0</v>
      </c>
      <c r="B230" s="9" t="s">
        <v>2279</v>
      </c>
      <c r="C230" s="9">
        <f t="shared" si="1"/>
        <v>15</v>
      </c>
      <c r="D230" s="9">
        <f t="shared" si="2"/>
        <v>5</v>
      </c>
    </row>
    <row r="231">
      <c r="A231" s="9">
        <v>229.0</v>
      </c>
      <c r="B231" s="9" t="s">
        <v>2280</v>
      </c>
      <c r="C231" s="9">
        <f t="shared" si="1"/>
        <v>15</v>
      </c>
      <c r="D231" s="9">
        <f t="shared" si="2"/>
        <v>6</v>
      </c>
    </row>
    <row r="232">
      <c r="A232" s="9">
        <v>230.0</v>
      </c>
      <c r="B232" s="9" t="s">
        <v>2281</v>
      </c>
      <c r="C232" s="9">
        <f t="shared" si="1"/>
        <v>15</v>
      </c>
      <c r="D232" s="9">
        <f t="shared" si="2"/>
        <v>7</v>
      </c>
    </row>
    <row r="233">
      <c r="A233" s="9">
        <v>231.0</v>
      </c>
      <c r="B233" s="9" t="s">
        <v>2282</v>
      </c>
      <c r="C233" s="9">
        <f t="shared" si="1"/>
        <v>15</v>
      </c>
      <c r="D233" s="9">
        <f t="shared" si="2"/>
        <v>8</v>
      </c>
    </row>
    <row r="234">
      <c r="A234" s="9">
        <v>232.0</v>
      </c>
      <c r="B234" s="9" t="s">
        <v>2283</v>
      </c>
      <c r="C234" s="9">
        <f t="shared" si="1"/>
        <v>15</v>
      </c>
      <c r="D234" s="9">
        <f t="shared" si="2"/>
        <v>9</v>
      </c>
    </row>
    <row r="235">
      <c r="A235" s="9">
        <v>233.0</v>
      </c>
      <c r="B235" s="9" t="s">
        <v>2284</v>
      </c>
      <c r="C235" s="9">
        <f t="shared" si="1"/>
        <v>15</v>
      </c>
      <c r="D235" s="9">
        <f t="shared" si="2"/>
        <v>10</v>
      </c>
    </row>
    <row r="236">
      <c r="A236" s="9">
        <v>234.0</v>
      </c>
      <c r="B236" s="9" t="s">
        <v>2285</v>
      </c>
      <c r="C236" s="9">
        <f t="shared" si="1"/>
        <v>15</v>
      </c>
      <c r="D236" s="9">
        <f t="shared" si="2"/>
        <v>11</v>
      </c>
    </row>
    <row r="237">
      <c r="A237" s="9">
        <v>235.0</v>
      </c>
      <c r="B237" s="9" t="s">
        <v>2286</v>
      </c>
      <c r="C237" s="9">
        <f t="shared" si="1"/>
        <v>15</v>
      </c>
      <c r="D237" s="9">
        <f t="shared" si="2"/>
        <v>12</v>
      </c>
    </row>
    <row r="238">
      <c r="A238" s="9">
        <v>236.0</v>
      </c>
      <c r="B238" s="9" t="s">
        <v>2287</v>
      </c>
      <c r="C238" s="9">
        <f t="shared" si="1"/>
        <v>15</v>
      </c>
      <c r="D238" s="9">
        <f t="shared" si="2"/>
        <v>13</v>
      </c>
    </row>
    <row r="239">
      <c r="A239" s="9">
        <v>237.0</v>
      </c>
      <c r="B239" s="9" t="s">
        <v>2288</v>
      </c>
      <c r="C239" s="9">
        <f t="shared" si="1"/>
        <v>15</v>
      </c>
      <c r="D239" s="9">
        <f t="shared" si="2"/>
        <v>14</v>
      </c>
    </row>
    <row r="240">
      <c r="A240" s="9">
        <v>238.0</v>
      </c>
      <c r="B240" s="9" t="s">
        <v>2289</v>
      </c>
      <c r="C240" s="9">
        <f t="shared" si="1"/>
        <v>15</v>
      </c>
      <c r="D240" s="9">
        <f t="shared" si="2"/>
        <v>15</v>
      </c>
    </row>
    <row r="241">
      <c r="A241" s="9">
        <v>239.0</v>
      </c>
      <c r="B241" s="9" t="s">
        <v>2290</v>
      </c>
      <c r="C241" s="9">
        <f t="shared" si="1"/>
        <v>15</v>
      </c>
      <c r="D241" s="9">
        <f t="shared" si="2"/>
        <v>16</v>
      </c>
    </row>
    <row r="242">
      <c r="A242" s="9">
        <v>240.0</v>
      </c>
      <c r="B242" s="9" t="s">
        <v>2339</v>
      </c>
      <c r="C242" s="9">
        <f t="shared" si="1"/>
        <v>16</v>
      </c>
      <c r="D242" s="9">
        <f t="shared" si="2"/>
        <v>1</v>
      </c>
    </row>
    <row r="243">
      <c r="A243" s="9">
        <v>241.0</v>
      </c>
      <c r="B243" s="9" t="s">
        <v>2340</v>
      </c>
      <c r="C243" s="9">
        <f t="shared" si="1"/>
        <v>16</v>
      </c>
      <c r="D243" s="9">
        <f t="shared" si="2"/>
        <v>2</v>
      </c>
    </row>
    <row r="244">
      <c r="A244" s="9">
        <v>242.0</v>
      </c>
      <c r="B244" s="9" t="s">
        <v>2341</v>
      </c>
      <c r="C244" s="9">
        <f t="shared" si="1"/>
        <v>16</v>
      </c>
      <c r="D244" s="9">
        <f t="shared" si="2"/>
        <v>3</v>
      </c>
    </row>
    <row r="245">
      <c r="A245" s="9">
        <v>243.0</v>
      </c>
      <c r="B245" s="9" t="s">
        <v>2342</v>
      </c>
      <c r="C245" s="9">
        <f t="shared" si="1"/>
        <v>16</v>
      </c>
      <c r="D245" s="9">
        <f t="shared" si="2"/>
        <v>4</v>
      </c>
    </row>
    <row r="246">
      <c r="A246" s="9">
        <v>244.0</v>
      </c>
      <c r="B246" s="9" t="s">
        <v>2343</v>
      </c>
      <c r="C246" s="9">
        <f t="shared" si="1"/>
        <v>16</v>
      </c>
      <c r="D246" s="9">
        <f t="shared" si="2"/>
        <v>5</v>
      </c>
    </row>
    <row r="247">
      <c r="A247" s="9">
        <v>245.0</v>
      </c>
      <c r="B247" s="9" t="s">
        <v>2344</v>
      </c>
      <c r="C247" s="9">
        <f t="shared" si="1"/>
        <v>16</v>
      </c>
      <c r="D247" s="9">
        <f t="shared" si="2"/>
        <v>6</v>
      </c>
    </row>
    <row r="248">
      <c r="A248" s="9">
        <v>246.0</v>
      </c>
      <c r="B248" s="9" t="s">
        <v>2345</v>
      </c>
      <c r="C248" s="9">
        <f t="shared" si="1"/>
        <v>16</v>
      </c>
      <c r="D248" s="9">
        <f t="shared" si="2"/>
        <v>7</v>
      </c>
    </row>
    <row r="249">
      <c r="A249" s="9">
        <v>247.0</v>
      </c>
      <c r="B249" s="9" t="s">
        <v>2346</v>
      </c>
      <c r="C249" s="9">
        <f t="shared" si="1"/>
        <v>16</v>
      </c>
      <c r="D249" s="9">
        <f t="shared" si="2"/>
        <v>8</v>
      </c>
    </row>
    <row r="250">
      <c r="A250" s="9">
        <v>248.0</v>
      </c>
      <c r="B250" s="9" t="s">
        <v>2347</v>
      </c>
      <c r="C250" s="9">
        <f t="shared" si="1"/>
        <v>16</v>
      </c>
      <c r="D250" s="9">
        <f t="shared" si="2"/>
        <v>9</v>
      </c>
    </row>
    <row r="251">
      <c r="A251" s="9">
        <v>249.0</v>
      </c>
      <c r="B251" s="9" t="s">
        <v>2348</v>
      </c>
      <c r="C251" s="9">
        <f t="shared" si="1"/>
        <v>16</v>
      </c>
      <c r="D251" s="9">
        <f t="shared" si="2"/>
        <v>10</v>
      </c>
    </row>
    <row r="252">
      <c r="A252" s="9">
        <v>250.0</v>
      </c>
      <c r="B252" s="9" t="s">
        <v>2349</v>
      </c>
      <c r="C252" s="9">
        <f t="shared" si="1"/>
        <v>16</v>
      </c>
      <c r="D252" s="9">
        <f t="shared" si="2"/>
        <v>11</v>
      </c>
    </row>
    <row r="253">
      <c r="A253" s="9">
        <v>251.0</v>
      </c>
      <c r="B253" s="9" t="s">
        <v>2350</v>
      </c>
      <c r="C253" s="9">
        <f t="shared" si="1"/>
        <v>16</v>
      </c>
      <c r="D253" s="9">
        <f t="shared" si="2"/>
        <v>12</v>
      </c>
    </row>
    <row r="254">
      <c r="A254" s="9">
        <v>252.0</v>
      </c>
      <c r="B254" s="9" t="s">
        <v>2351</v>
      </c>
      <c r="C254" s="9">
        <f t="shared" si="1"/>
        <v>16</v>
      </c>
      <c r="D254" s="9">
        <f t="shared" si="2"/>
        <v>13</v>
      </c>
    </row>
    <row r="255">
      <c r="A255" s="9">
        <v>253.0</v>
      </c>
      <c r="B255" s="9" t="s">
        <v>2352</v>
      </c>
      <c r="C255" s="9">
        <f t="shared" si="1"/>
        <v>16</v>
      </c>
      <c r="D255" s="9">
        <f t="shared" si="2"/>
        <v>14</v>
      </c>
    </row>
    <row r="256">
      <c r="A256" s="9">
        <v>254.0</v>
      </c>
      <c r="B256" s="9" t="s">
        <v>2353</v>
      </c>
      <c r="C256" s="9">
        <f t="shared" si="1"/>
        <v>16</v>
      </c>
      <c r="D256" s="9">
        <f t="shared" si="2"/>
        <v>15</v>
      </c>
    </row>
    <row r="257">
      <c r="A257" s="9">
        <v>255.0</v>
      </c>
      <c r="B257" s="9" t="s">
        <v>2354</v>
      </c>
      <c r="C257" s="9">
        <f t="shared" si="1"/>
        <v>16</v>
      </c>
      <c r="D257" s="9">
        <f t="shared" si="2"/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2355</v>
      </c>
      <c r="B1" s="4" t="s">
        <v>2356</v>
      </c>
    </row>
    <row r="2">
      <c r="A2" s="9">
        <f>FEATURE_MAP(0,1,120,"FV")</f>
        <v>0</v>
      </c>
      <c r="B2" s="9" t="s">
        <v>2357</v>
      </c>
    </row>
    <row r="3">
      <c r="A3" s="9">
        <v>1.0</v>
      </c>
      <c r="B3" s="9" t="s">
        <v>2358</v>
      </c>
    </row>
    <row r="4">
      <c r="A4" s="9">
        <v>2.0</v>
      </c>
      <c r="B4" s="9" t="s">
        <v>2359</v>
      </c>
    </row>
    <row r="5">
      <c r="A5" s="9">
        <v>3.0</v>
      </c>
      <c r="B5" s="9" t="s">
        <v>2360</v>
      </c>
    </row>
    <row r="6">
      <c r="A6" s="9">
        <v>4.0</v>
      </c>
      <c r="B6" s="9" t="s">
        <v>2361</v>
      </c>
    </row>
    <row r="7">
      <c r="A7" s="9">
        <v>5.0</v>
      </c>
      <c r="B7" s="9" t="s">
        <v>2362</v>
      </c>
    </row>
    <row r="8">
      <c r="A8" s="9">
        <v>6.0</v>
      </c>
      <c r="B8" s="9" t="s">
        <v>2363</v>
      </c>
    </row>
    <row r="9">
      <c r="A9" s="9">
        <v>7.0</v>
      </c>
      <c r="B9" s="9" t="s">
        <v>2364</v>
      </c>
    </row>
    <row r="10">
      <c r="A10" s="9">
        <v>8.0</v>
      </c>
      <c r="B10" s="9" t="s">
        <v>2365</v>
      </c>
    </row>
    <row r="11">
      <c r="A11" s="9">
        <v>9.0</v>
      </c>
      <c r="B11" s="9" t="s">
        <v>2366</v>
      </c>
    </row>
    <row r="12">
      <c r="A12" s="9">
        <v>10.0</v>
      </c>
      <c r="B12" s="9" t="s">
        <v>2367</v>
      </c>
    </row>
    <row r="13">
      <c r="A13" s="9">
        <v>11.0</v>
      </c>
      <c r="B13" s="9" t="s">
        <v>2368</v>
      </c>
    </row>
    <row r="14">
      <c r="A14" s="9">
        <v>12.0</v>
      </c>
      <c r="B14" s="9" t="s">
        <v>2369</v>
      </c>
    </row>
    <row r="15">
      <c r="A15" s="9">
        <v>13.0</v>
      </c>
      <c r="B15" s="9" t="s">
        <v>2370</v>
      </c>
    </row>
    <row r="16">
      <c r="A16" s="9">
        <v>14.0</v>
      </c>
      <c r="B16" s="9" t="s">
        <v>2371</v>
      </c>
    </row>
    <row r="17">
      <c r="A17" s="9">
        <v>15.0</v>
      </c>
      <c r="B17" s="9" t="s">
        <v>2372</v>
      </c>
    </row>
    <row r="18">
      <c r="A18" s="9">
        <v>16.0</v>
      </c>
      <c r="B18" s="9" t="s">
        <v>2373</v>
      </c>
    </row>
    <row r="19">
      <c r="A19" s="9">
        <v>17.0</v>
      </c>
      <c r="B19" s="9" t="s">
        <v>2374</v>
      </c>
    </row>
    <row r="20">
      <c r="A20" s="9">
        <v>18.0</v>
      </c>
      <c r="B20" s="9" t="s">
        <v>2375</v>
      </c>
    </row>
    <row r="21">
      <c r="A21" s="9">
        <v>19.0</v>
      </c>
      <c r="B21" s="9" t="s">
        <v>2376</v>
      </c>
    </row>
    <row r="22">
      <c r="A22" s="9">
        <v>20.0</v>
      </c>
      <c r="B22" s="9" t="s">
        <v>2377</v>
      </c>
    </row>
    <row r="23">
      <c r="A23" s="9">
        <v>21.0</v>
      </c>
      <c r="B23" s="9" t="s">
        <v>2378</v>
      </c>
    </row>
    <row r="24">
      <c r="A24" s="9">
        <v>22.0</v>
      </c>
      <c r="B24" s="9" t="s">
        <v>2379</v>
      </c>
    </row>
    <row r="25">
      <c r="A25" s="9">
        <v>23.0</v>
      </c>
      <c r="B25" s="9" t="s">
        <v>2380</v>
      </c>
    </row>
    <row r="26">
      <c r="A26" s="9">
        <v>24.0</v>
      </c>
      <c r="B26" s="9" t="s">
        <v>2381</v>
      </c>
    </row>
    <row r="27">
      <c r="A27" s="9">
        <v>25.0</v>
      </c>
      <c r="B27" s="9" t="s">
        <v>2382</v>
      </c>
    </row>
    <row r="28">
      <c r="A28" s="9">
        <v>26.0</v>
      </c>
      <c r="B28" s="9" t="s">
        <v>2383</v>
      </c>
    </row>
    <row r="29">
      <c r="A29" s="9">
        <v>27.0</v>
      </c>
      <c r="B29" s="9" t="s">
        <v>2384</v>
      </c>
    </row>
    <row r="30">
      <c r="A30" s="9">
        <v>28.0</v>
      </c>
      <c r="B30" s="9" t="s">
        <v>2385</v>
      </c>
    </row>
    <row r="31">
      <c r="A31" s="9">
        <v>29.0</v>
      </c>
      <c r="B31" s="9" t="s">
        <v>2386</v>
      </c>
    </row>
    <row r="32">
      <c r="A32" s="9">
        <v>30.0</v>
      </c>
      <c r="B32" s="9" t="s">
        <v>2387</v>
      </c>
    </row>
    <row r="33">
      <c r="A33" s="9">
        <v>31.0</v>
      </c>
      <c r="B33" s="9" t="s">
        <v>2388</v>
      </c>
    </row>
    <row r="34">
      <c r="A34" s="9">
        <v>32.0</v>
      </c>
      <c r="B34" s="9" t="s">
        <v>2389</v>
      </c>
    </row>
    <row r="35">
      <c r="A35" s="9">
        <v>33.0</v>
      </c>
      <c r="B35" s="9" t="s">
        <v>2390</v>
      </c>
    </row>
    <row r="36">
      <c r="A36" s="9">
        <v>34.0</v>
      </c>
      <c r="B36" s="9" t="s">
        <v>2391</v>
      </c>
    </row>
    <row r="37">
      <c r="A37" s="9">
        <v>35.0</v>
      </c>
      <c r="B37" s="9" t="s">
        <v>2392</v>
      </c>
    </row>
    <row r="38">
      <c r="A38" s="9">
        <v>36.0</v>
      </c>
      <c r="B38" s="9" t="s">
        <v>2393</v>
      </c>
    </row>
    <row r="39">
      <c r="A39" s="9">
        <v>37.0</v>
      </c>
      <c r="B39" s="9" t="s">
        <v>2394</v>
      </c>
    </row>
    <row r="40">
      <c r="A40" s="9">
        <v>38.0</v>
      </c>
      <c r="B40" s="9" t="s">
        <v>2395</v>
      </c>
    </row>
    <row r="41">
      <c r="A41" s="9">
        <v>39.0</v>
      </c>
      <c r="B41" s="9" t="s">
        <v>2396</v>
      </c>
    </row>
    <row r="42">
      <c r="A42" s="9">
        <v>40.0</v>
      </c>
      <c r="B42" s="9" t="s">
        <v>2397</v>
      </c>
    </row>
    <row r="43">
      <c r="A43" s="9">
        <v>41.0</v>
      </c>
      <c r="B43" s="9" t="s">
        <v>2398</v>
      </c>
    </row>
    <row r="44">
      <c r="A44" s="9">
        <v>42.0</v>
      </c>
      <c r="B44" s="9" t="s">
        <v>2399</v>
      </c>
    </row>
    <row r="45">
      <c r="A45" s="9">
        <v>43.0</v>
      </c>
      <c r="B45" s="9" t="s">
        <v>2400</v>
      </c>
    </row>
    <row r="46">
      <c r="A46" s="9">
        <v>44.0</v>
      </c>
      <c r="B46" s="9" t="s">
        <v>2401</v>
      </c>
    </row>
    <row r="47">
      <c r="A47" s="9">
        <v>45.0</v>
      </c>
      <c r="B47" s="9" t="s">
        <v>2402</v>
      </c>
    </row>
    <row r="48">
      <c r="A48" s="9">
        <v>46.0</v>
      </c>
      <c r="B48" s="9" t="s">
        <v>2403</v>
      </c>
    </row>
    <row r="49">
      <c r="A49" s="9">
        <v>47.0</v>
      </c>
      <c r="B49" s="9" t="s">
        <v>2404</v>
      </c>
    </row>
    <row r="50">
      <c r="A50" s="9">
        <v>48.0</v>
      </c>
      <c r="B50" s="9" t="s">
        <v>2405</v>
      </c>
    </row>
    <row r="51">
      <c r="A51" s="9">
        <v>49.0</v>
      </c>
      <c r="B51" s="9" t="s">
        <v>2406</v>
      </c>
    </row>
    <row r="52">
      <c r="A52" s="9">
        <v>50.0</v>
      </c>
      <c r="B52" s="9" t="s">
        <v>2407</v>
      </c>
    </row>
    <row r="53">
      <c r="A53" s="9">
        <v>51.0</v>
      </c>
      <c r="B53" s="9" t="s">
        <v>2408</v>
      </c>
    </row>
    <row r="54">
      <c r="A54" s="9">
        <v>52.0</v>
      </c>
      <c r="B54" s="9" t="s">
        <v>2409</v>
      </c>
    </row>
    <row r="55">
      <c r="A55" s="9">
        <v>53.0</v>
      </c>
      <c r="B55" s="9" t="s">
        <v>2410</v>
      </c>
    </row>
    <row r="56">
      <c r="A56" s="9">
        <v>54.0</v>
      </c>
      <c r="B56" s="9" t="s">
        <v>2411</v>
      </c>
    </row>
    <row r="57">
      <c r="A57" s="9">
        <v>55.0</v>
      </c>
      <c r="B57" s="9" t="s">
        <v>2412</v>
      </c>
    </row>
    <row r="58">
      <c r="A58" s="9">
        <v>56.0</v>
      </c>
      <c r="B58" s="9" t="s">
        <v>2413</v>
      </c>
    </row>
    <row r="59">
      <c r="A59" s="9">
        <v>57.0</v>
      </c>
      <c r="B59" s="9" t="s">
        <v>2414</v>
      </c>
    </row>
    <row r="60">
      <c r="A60" s="9">
        <v>58.0</v>
      </c>
      <c r="B60" s="9" t="s">
        <v>2415</v>
      </c>
    </row>
    <row r="61">
      <c r="A61" s="9">
        <v>59.0</v>
      </c>
      <c r="B61" s="9" t="s">
        <v>2416</v>
      </c>
    </row>
    <row r="62">
      <c r="A62" s="9">
        <v>60.0</v>
      </c>
      <c r="B62" s="9" t="s">
        <v>2417</v>
      </c>
    </row>
    <row r="63">
      <c r="A63" s="9">
        <v>61.0</v>
      </c>
      <c r="B63" s="9" t="s">
        <v>2418</v>
      </c>
    </row>
    <row r="64">
      <c r="A64" s="9">
        <v>62.0</v>
      </c>
      <c r="B64" s="9" t="s">
        <v>2419</v>
      </c>
    </row>
    <row r="65">
      <c r="A65" s="9">
        <v>63.0</v>
      </c>
      <c r="B65" s="9" t="s">
        <v>2420</v>
      </c>
    </row>
    <row r="66">
      <c r="A66" s="9">
        <v>64.0</v>
      </c>
      <c r="B66" s="9" t="s">
        <v>2421</v>
      </c>
    </row>
    <row r="67">
      <c r="A67" s="9">
        <v>65.0</v>
      </c>
      <c r="B67" s="9" t="s">
        <v>2422</v>
      </c>
    </row>
    <row r="68">
      <c r="A68" s="9">
        <v>66.0</v>
      </c>
      <c r="B68" s="9" t="s">
        <v>2423</v>
      </c>
    </row>
    <row r="69">
      <c r="A69" s="9">
        <v>67.0</v>
      </c>
      <c r="B69" s="9" t="s">
        <v>2424</v>
      </c>
    </row>
    <row r="70">
      <c r="A70" s="9">
        <v>68.0</v>
      </c>
      <c r="B70" s="9" t="s">
        <v>2425</v>
      </c>
    </row>
    <row r="71">
      <c r="A71" s="9">
        <v>69.0</v>
      </c>
      <c r="B71" s="9" t="s">
        <v>2426</v>
      </c>
    </row>
    <row r="72">
      <c r="A72" s="9">
        <v>70.0</v>
      </c>
      <c r="B72" s="9" t="s">
        <v>2427</v>
      </c>
    </row>
    <row r="73">
      <c r="A73" s="9">
        <v>71.0</v>
      </c>
      <c r="B73" s="9" t="s">
        <v>2428</v>
      </c>
    </row>
    <row r="74">
      <c r="A74" s="9">
        <v>72.0</v>
      </c>
      <c r="B74" s="9" t="s">
        <v>2429</v>
      </c>
    </row>
    <row r="75">
      <c r="A75" s="9">
        <v>73.0</v>
      </c>
      <c r="B75" s="9" t="s">
        <v>2430</v>
      </c>
    </row>
    <row r="76">
      <c r="A76" s="9">
        <v>74.0</v>
      </c>
      <c r="B76" s="9" t="s">
        <v>2431</v>
      </c>
    </row>
    <row r="77">
      <c r="A77" s="9">
        <v>75.0</v>
      </c>
      <c r="B77" s="9" t="s">
        <v>2432</v>
      </c>
    </row>
    <row r="78">
      <c r="A78" s="9">
        <v>76.0</v>
      </c>
      <c r="B78" s="9" t="s">
        <v>2433</v>
      </c>
    </row>
    <row r="79">
      <c r="A79" s="9">
        <v>77.0</v>
      </c>
      <c r="B79" s="9" t="s">
        <v>2434</v>
      </c>
    </row>
    <row r="80">
      <c r="A80" s="9">
        <v>78.0</v>
      </c>
      <c r="B80" s="9" t="s">
        <v>2435</v>
      </c>
    </row>
    <row r="81">
      <c r="A81" s="9">
        <v>79.0</v>
      </c>
      <c r="B81" s="9" t="s">
        <v>2436</v>
      </c>
    </row>
    <row r="82">
      <c r="A82" s="9">
        <v>80.0</v>
      </c>
      <c r="B82" s="9" t="s">
        <v>2437</v>
      </c>
    </row>
    <row r="83">
      <c r="A83" s="9">
        <v>81.0</v>
      </c>
      <c r="B83" s="9" t="s">
        <v>2438</v>
      </c>
    </row>
    <row r="84">
      <c r="A84" s="9">
        <v>82.0</v>
      </c>
      <c r="B84" s="9" t="s">
        <v>2439</v>
      </c>
    </row>
    <row r="85">
      <c r="A85" s="9">
        <v>83.0</v>
      </c>
      <c r="B85" s="9" t="s">
        <v>2440</v>
      </c>
    </row>
    <row r="86">
      <c r="A86" s="9">
        <v>84.0</v>
      </c>
      <c r="B86" s="9" t="s">
        <v>2441</v>
      </c>
    </row>
    <row r="87">
      <c r="A87" s="9">
        <v>85.0</v>
      </c>
      <c r="B87" s="9" t="s">
        <v>2442</v>
      </c>
    </row>
    <row r="88">
      <c r="A88" s="9">
        <v>86.0</v>
      </c>
      <c r="B88" s="9" t="s">
        <v>2443</v>
      </c>
    </row>
    <row r="89">
      <c r="A89" s="9">
        <v>87.0</v>
      </c>
      <c r="B89" s="9" t="s">
        <v>2444</v>
      </c>
    </row>
    <row r="90">
      <c r="A90" s="9">
        <v>88.0</v>
      </c>
      <c r="B90" s="9" t="s">
        <v>2445</v>
      </c>
    </row>
    <row r="91">
      <c r="A91" s="9">
        <v>89.0</v>
      </c>
      <c r="B91" s="9" t="s">
        <v>2446</v>
      </c>
    </row>
    <row r="92">
      <c r="A92" s="9">
        <v>90.0</v>
      </c>
      <c r="B92" s="9" t="s">
        <v>2447</v>
      </c>
    </row>
    <row r="93">
      <c r="A93" s="9">
        <v>91.0</v>
      </c>
      <c r="B93" s="9" t="s">
        <v>2448</v>
      </c>
    </row>
    <row r="94">
      <c r="A94" s="9">
        <v>92.0</v>
      </c>
      <c r="B94" s="9" t="s">
        <v>2449</v>
      </c>
    </row>
    <row r="95">
      <c r="A95" s="9">
        <v>93.0</v>
      </c>
      <c r="B95" s="9" t="s">
        <v>2450</v>
      </c>
    </row>
    <row r="96">
      <c r="A96" s="9">
        <v>94.0</v>
      </c>
      <c r="B96" s="9" t="s">
        <v>2451</v>
      </c>
    </row>
    <row r="97">
      <c r="A97" s="9">
        <v>95.0</v>
      </c>
      <c r="B97" s="9" t="s">
        <v>2452</v>
      </c>
    </row>
    <row r="98">
      <c r="A98" s="9">
        <v>96.0</v>
      </c>
      <c r="B98" s="9" t="s">
        <v>2453</v>
      </c>
    </row>
    <row r="99">
      <c r="A99" s="9">
        <v>97.0</v>
      </c>
      <c r="B99" s="9" t="s">
        <v>2454</v>
      </c>
    </row>
    <row r="100">
      <c r="A100" s="9">
        <v>98.0</v>
      </c>
      <c r="B100" s="9" t="s">
        <v>2455</v>
      </c>
    </row>
    <row r="101">
      <c r="A101" s="9">
        <v>99.0</v>
      </c>
      <c r="B101" s="9" t="s">
        <v>2456</v>
      </c>
    </row>
    <row r="102">
      <c r="A102" s="9">
        <v>100.0</v>
      </c>
      <c r="B102" s="9" t="s">
        <v>2457</v>
      </c>
    </row>
    <row r="103">
      <c r="A103" s="9">
        <v>101.0</v>
      </c>
      <c r="B103" s="9" t="s">
        <v>2458</v>
      </c>
    </row>
    <row r="104">
      <c r="A104" s="9">
        <v>102.0</v>
      </c>
      <c r="B104" s="9" t="s">
        <v>2459</v>
      </c>
    </row>
    <row r="105">
      <c r="A105" s="9">
        <v>103.0</v>
      </c>
      <c r="B105" s="9" t="s">
        <v>2460</v>
      </c>
    </row>
    <row r="106">
      <c r="A106" s="9">
        <v>104.0</v>
      </c>
      <c r="B106" s="9" t="s">
        <v>2461</v>
      </c>
    </row>
    <row r="107">
      <c r="A107" s="9">
        <v>105.0</v>
      </c>
      <c r="B107" s="9" t="s">
        <v>2462</v>
      </c>
    </row>
    <row r="108">
      <c r="A108" s="9">
        <v>106.0</v>
      </c>
      <c r="B108" s="9" t="s">
        <v>2463</v>
      </c>
    </row>
    <row r="109">
      <c r="A109" s="9">
        <v>107.0</v>
      </c>
      <c r="B109" s="9" t="s">
        <v>2464</v>
      </c>
    </row>
    <row r="110">
      <c r="A110" s="9">
        <v>108.0</v>
      </c>
      <c r="B110" s="9" t="s">
        <v>2465</v>
      </c>
    </row>
    <row r="111">
      <c r="A111" s="9">
        <v>109.0</v>
      </c>
      <c r="B111" s="9" t="s">
        <v>2466</v>
      </c>
    </row>
    <row r="112">
      <c r="A112" s="9">
        <v>110.0</v>
      </c>
      <c r="B112" s="9" t="s">
        <v>2467</v>
      </c>
    </row>
    <row r="113">
      <c r="A113" s="9">
        <v>111.0</v>
      </c>
      <c r="B113" s="9" t="s">
        <v>2468</v>
      </c>
    </row>
    <row r="114">
      <c r="A114" s="9">
        <v>112.0</v>
      </c>
      <c r="B114" s="9" t="s">
        <v>2469</v>
      </c>
    </row>
    <row r="115">
      <c r="A115" s="9">
        <v>113.0</v>
      </c>
      <c r="B115" s="9" t="s">
        <v>2470</v>
      </c>
    </row>
    <row r="116">
      <c r="A116" s="9">
        <v>114.0</v>
      </c>
      <c r="B116" s="9" t="s">
        <v>2471</v>
      </c>
    </row>
    <row r="117">
      <c r="A117" s="9">
        <v>115.0</v>
      </c>
      <c r="B117" s="9" t="s">
        <v>2472</v>
      </c>
    </row>
    <row r="118">
      <c r="A118" s="9">
        <v>116.0</v>
      </c>
      <c r="B118" s="9" t="s">
        <v>2473</v>
      </c>
    </row>
    <row r="119">
      <c r="A119" s="9">
        <v>117.0</v>
      </c>
      <c r="B119" s="9" t="s">
        <v>2474</v>
      </c>
    </row>
    <row r="120">
      <c r="A120" s="9">
        <v>118.0</v>
      </c>
      <c r="B120" s="9" t="s">
        <v>2475</v>
      </c>
    </row>
    <row r="121">
      <c r="A121" s="9">
        <v>119.0</v>
      </c>
      <c r="B121" s="9" t="s">
        <v>2476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2355</v>
      </c>
      <c r="B1" s="4" t="s">
        <v>2356</v>
      </c>
    </row>
    <row r="2">
      <c r="A2" s="9">
        <f>FEATURE_MAP(0,1,84,"FV")</f>
        <v>0</v>
      </c>
      <c r="B2" s="9" t="s">
        <v>2357</v>
      </c>
    </row>
    <row r="3">
      <c r="A3" s="9">
        <v>1.0</v>
      </c>
      <c r="B3" s="9" t="s">
        <v>2358</v>
      </c>
    </row>
    <row r="4">
      <c r="A4" s="9">
        <v>2.0</v>
      </c>
      <c r="B4" s="9" t="s">
        <v>2359</v>
      </c>
    </row>
    <row r="5">
      <c r="A5" s="9">
        <v>3.0</v>
      </c>
      <c r="B5" s="9" t="s">
        <v>2360</v>
      </c>
    </row>
    <row r="6">
      <c r="A6" s="9">
        <v>4.0</v>
      </c>
      <c r="B6" s="9" t="s">
        <v>2361</v>
      </c>
    </row>
    <row r="7">
      <c r="A7" s="9">
        <v>5.0</v>
      </c>
      <c r="B7" s="9" t="s">
        <v>2362</v>
      </c>
    </row>
    <row r="8">
      <c r="A8" s="9">
        <v>6.0</v>
      </c>
      <c r="B8" s="9" t="s">
        <v>2363</v>
      </c>
    </row>
    <row r="9">
      <c r="A9" s="9">
        <v>7.0</v>
      </c>
      <c r="B9" s="9" t="s">
        <v>2364</v>
      </c>
    </row>
    <row r="10">
      <c r="A10" s="9">
        <v>8.0</v>
      </c>
      <c r="B10" s="9" t="s">
        <v>2365</v>
      </c>
    </row>
    <row r="11">
      <c r="A11" s="9">
        <v>9.0</v>
      </c>
      <c r="B11" s="9" t="s">
        <v>2366</v>
      </c>
    </row>
    <row r="12">
      <c r="A12" s="9">
        <v>10.0</v>
      </c>
      <c r="B12" s="9" t="s">
        <v>2367</v>
      </c>
    </row>
    <row r="13">
      <c r="A13" s="9">
        <v>11.0</v>
      </c>
      <c r="B13" s="9" t="s">
        <v>2368</v>
      </c>
    </row>
    <row r="14">
      <c r="A14" s="9">
        <v>12.0</v>
      </c>
      <c r="B14" s="9" t="s">
        <v>2369</v>
      </c>
    </row>
    <row r="15">
      <c r="A15" s="9">
        <v>13.0</v>
      </c>
      <c r="B15" s="9" t="s">
        <v>2370</v>
      </c>
    </row>
    <row r="16">
      <c r="A16" s="9">
        <v>14.0</v>
      </c>
      <c r="B16" s="9" t="s">
        <v>2371</v>
      </c>
    </row>
    <row r="17">
      <c r="A17" s="9">
        <v>15.0</v>
      </c>
      <c r="B17" s="9" t="s">
        <v>2372</v>
      </c>
    </row>
    <row r="18">
      <c r="A18" s="9">
        <v>16.0</v>
      </c>
      <c r="B18" s="9" t="s">
        <v>2373</v>
      </c>
    </row>
    <row r="19">
      <c r="A19" s="9">
        <v>17.0</v>
      </c>
      <c r="B19" s="9" t="s">
        <v>2374</v>
      </c>
    </row>
    <row r="20">
      <c r="A20" s="9">
        <v>18.0</v>
      </c>
      <c r="B20" s="9" t="s">
        <v>2375</v>
      </c>
    </row>
    <row r="21">
      <c r="A21" s="9">
        <v>19.0</v>
      </c>
      <c r="B21" s="9" t="s">
        <v>2376</v>
      </c>
    </row>
    <row r="22">
      <c r="A22" s="9">
        <v>20.0</v>
      </c>
      <c r="B22" s="9" t="s">
        <v>2377</v>
      </c>
    </row>
    <row r="23">
      <c r="A23" s="9">
        <v>21.0</v>
      </c>
      <c r="B23" s="9" t="s">
        <v>2378</v>
      </c>
    </row>
    <row r="24">
      <c r="A24" s="9">
        <v>22.0</v>
      </c>
      <c r="B24" s="9" t="s">
        <v>2379</v>
      </c>
    </row>
    <row r="25">
      <c r="A25" s="9">
        <v>23.0</v>
      </c>
      <c r="B25" s="9" t="s">
        <v>2380</v>
      </c>
    </row>
    <row r="26">
      <c r="A26" s="9">
        <v>24.0</v>
      </c>
      <c r="B26" s="9" t="s">
        <v>2381</v>
      </c>
    </row>
    <row r="27">
      <c r="A27" s="9">
        <v>25.0</v>
      </c>
      <c r="B27" s="9" t="s">
        <v>2382</v>
      </c>
    </row>
    <row r="28">
      <c r="A28" s="9">
        <v>26.0</v>
      </c>
      <c r="B28" s="9" t="s">
        <v>2383</v>
      </c>
    </row>
    <row r="29">
      <c r="A29" s="9">
        <v>27.0</v>
      </c>
      <c r="B29" s="9" t="s">
        <v>2384</v>
      </c>
    </row>
    <row r="30">
      <c r="A30" s="9">
        <v>28.0</v>
      </c>
      <c r="B30" s="9" t="s">
        <v>2385</v>
      </c>
    </row>
    <row r="31">
      <c r="A31" s="9">
        <v>29.0</v>
      </c>
      <c r="B31" s="9" t="s">
        <v>2386</v>
      </c>
    </row>
    <row r="32">
      <c r="A32" s="9">
        <v>30.0</v>
      </c>
      <c r="B32" s="9" t="s">
        <v>2387</v>
      </c>
    </row>
    <row r="33">
      <c r="A33" s="9">
        <v>31.0</v>
      </c>
      <c r="B33" s="9" t="s">
        <v>2388</v>
      </c>
    </row>
    <row r="34">
      <c r="A34" s="9">
        <v>32.0</v>
      </c>
      <c r="B34" s="9" t="s">
        <v>2389</v>
      </c>
    </row>
    <row r="35">
      <c r="A35" s="9">
        <v>33.0</v>
      </c>
      <c r="B35" s="9" t="s">
        <v>2390</v>
      </c>
    </row>
    <row r="36">
      <c r="A36" s="9">
        <v>34.0</v>
      </c>
      <c r="B36" s="9" t="s">
        <v>2391</v>
      </c>
    </row>
    <row r="37">
      <c r="A37" s="9">
        <v>35.0</v>
      </c>
      <c r="B37" s="9" t="s">
        <v>2392</v>
      </c>
    </row>
    <row r="38">
      <c r="A38" s="9">
        <v>36.0</v>
      </c>
      <c r="B38" s="9" t="s">
        <v>2393</v>
      </c>
    </row>
    <row r="39">
      <c r="A39" s="9">
        <v>37.0</v>
      </c>
      <c r="B39" s="9" t="s">
        <v>2394</v>
      </c>
    </row>
    <row r="40">
      <c r="A40" s="9">
        <v>38.0</v>
      </c>
      <c r="B40" s="9" t="s">
        <v>2395</v>
      </c>
    </row>
    <row r="41">
      <c r="A41" s="9">
        <v>39.0</v>
      </c>
      <c r="B41" s="9" t="s">
        <v>2396</v>
      </c>
    </row>
    <row r="42">
      <c r="A42" s="9">
        <v>40.0</v>
      </c>
      <c r="B42" s="9" t="s">
        <v>2397</v>
      </c>
    </row>
    <row r="43">
      <c r="A43" s="9">
        <v>41.0</v>
      </c>
      <c r="B43" s="9" t="s">
        <v>2398</v>
      </c>
    </row>
    <row r="44">
      <c r="A44" s="9">
        <v>42.0</v>
      </c>
      <c r="B44" s="9" t="s">
        <v>2399</v>
      </c>
    </row>
    <row r="45">
      <c r="A45" s="9">
        <v>43.0</v>
      </c>
      <c r="B45" s="9" t="s">
        <v>2400</v>
      </c>
    </row>
    <row r="46">
      <c r="A46" s="9">
        <v>44.0</v>
      </c>
      <c r="B46" s="9" t="s">
        <v>2401</v>
      </c>
    </row>
    <row r="47">
      <c r="A47" s="9">
        <v>45.0</v>
      </c>
      <c r="B47" s="9" t="s">
        <v>2402</v>
      </c>
    </row>
    <row r="48">
      <c r="A48" s="9">
        <v>46.0</v>
      </c>
      <c r="B48" s="9" t="s">
        <v>2403</v>
      </c>
    </row>
    <row r="49">
      <c r="A49" s="9">
        <v>47.0</v>
      </c>
      <c r="B49" s="9" t="s">
        <v>2404</v>
      </c>
    </row>
    <row r="50">
      <c r="A50" s="9">
        <v>48.0</v>
      </c>
      <c r="B50" s="9" t="s">
        <v>2405</v>
      </c>
    </row>
    <row r="51">
      <c r="A51" s="9">
        <v>49.0</v>
      </c>
      <c r="B51" s="9" t="s">
        <v>2406</v>
      </c>
    </row>
    <row r="52">
      <c r="A52" s="9">
        <v>50.0</v>
      </c>
      <c r="B52" s="9" t="s">
        <v>2407</v>
      </c>
    </row>
    <row r="53">
      <c r="A53" s="9">
        <v>51.0</v>
      </c>
      <c r="B53" s="9" t="s">
        <v>2408</v>
      </c>
    </row>
    <row r="54">
      <c r="A54" s="9">
        <v>52.0</v>
      </c>
      <c r="B54" s="9" t="s">
        <v>2409</v>
      </c>
    </row>
    <row r="55">
      <c r="A55" s="9">
        <v>53.0</v>
      </c>
      <c r="B55" s="9" t="s">
        <v>2410</v>
      </c>
    </row>
    <row r="56">
      <c r="A56" s="9">
        <v>54.0</v>
      </c>
      <c r="B56" s="9" t="s">
        <v>2411</v>
      </c>
    </row>
    <row r="57">
      <c r="A57" s="9">
        <v>55.0</v>
      </c>
      <c r="B57" s="9" t="s">
        <v>2412</v>
      </c>
    </row>
    <row r="58">
      <c r="A58" s="9">
        <v>56.0</v>
      </c>
      <c r="B58" s="9" t="s">
        <v>2413</v>
      </c>
    </row>
    <row r="59">
      <c r="A59" s="9">
        <v>57.0</v>
      </c>
      <c r="B59" s="9" t="s">
        <v>2414</v>
      </c>
    </row>
    <row r="60">
      <c r="A60" s="9">
        <v>58.0</v>
      </c>
      <c r="B60" s="9" t="s">
        <v>2415</v>
      </c>
    </row>
    <row r="61">
      <c r="A61" s="9">
        <v>59.0</v>
      </c>
      <c r="B61" s="9" t="s">
        <v>2416</v>
      </c>
    </row>
    <row r="62">
      <c r="A62" s="9">
        <v>60.0</v>
      </c>
      <c r="B62" s="9" t="s">
        <v>2417</v>
      </c>
    </row>
    <row r="63">
      <c r="A63" s="9">
        <v>61.0</v>
      </c>
      <c r="B63" s="9" t="s">
        <v>2418</v>
      </c>
    </row>
    <row r="64">
      <c r="A64" s="9">
        <v>62.0</v>
      </c>
      <c r="B64" s="9" t="s">
        <v>2419</v>
      </c>
    </row>
    <row r="65">
      <c r="A65" s="9">
        <v>63.0</v>
      </c>
      <c r="B65" s="9" t="s">
        <v>2420</v>
      </c>
    </row>
    <row r="66">
      <c r="A66" s="9">
        <v>64.0</v>
      </c>
      <c r="B66" s="9" t="s">
        <v>2421</v>
      </c>
    </row>
    <row r="67">
      <c r="A67" s="9">
        <v>65.0</v>
      </c>
      <c r="B67" s="9" t="s">
        <v>2422</v>
      </c>
    </row>
    <row r="68">
      <c r="A68" s="9">
        <v>66.0</v>
      </c>
      <c r="B68" s="9" t="s">
        <v>2423</v>
      </c>
    </row>
    <row r="69">
      <c r="A69" s="9">
        <v>67.0</v>
      </c>
      <c r="B69" s="9" t="s">
        <v>2424</v>
      </c>
    </row>
    <row r="70">
      <c r="A70" s="9">
        <v>68.0</v>
      </c>
      <c r="B70" s="9" t="s">
        <v>2425</v>
      </c>
    </row>
    <row r="71">
      <c r="A71" s="9">
        <v>69.0</v>
      </c>
      <c r="B71" s="9" t="s">
        <v>2426</v>
      </c>
    </row>
    <row r="72">
      <c r="A72" s="9">
        <v>70.0</v>
      </c>
      <c r="B72" s="9" t="s">
        <v>2427</v>
      </c>
    </row>
    <row r="73">
      <c r="A73" s="9">
        <v>71.0</v>
      </c>
      <c r="B73" s="9" t="s">
        <v>2428</v>
      </c>
    </row>
    <row r="74">
      <c r="A74" s="9">
        <v>72.0</v>
      </c>
      <c r="B74" s="9" t="s">
        <v>2429</v>
      </c>
    </row>
    <row r="75">
      <c r="A75" s="9">
        <v>73.0</v>
      </c>
      <c r="B75" s="9" t="s">
        <v>2430</v>
      </c>
    </row>
    <row r="76">
      <c r="A76" s="9">
        <v>74.0</v>
      </c>
      <c r="B76" s="9" t="s">
        <v>2431</v>
      </c>
    </row>
    <row r="77">
      <c r="A77" s="9">
        <v>75.0</v>
      </c>
      <c r="B77" s="9" t="s">
        <v>2432</v>
      </c>
    </row>
    <row r="78">
      <c r="A78" s="9">
        <v>76.0</v>
      </c>
      <c r="B78" s="9" t="s">
        <v>2433</v>
      </c>
    </row>
    <row r="79">
      <c r="A79" s="9">
        <v>77.0</v>
      </c>
      <c r="B79" s="9" t="s">
        <v>2434</v>
      </c>
    </row>
    <row r="80">
      <c r="A80" s="9">
        <v>78.0</v>
      </c>
      <c r="B80" s="9" t="s">
        <v>2435</v>
      </c>
    </row>
    <row r="81">
      <c r="A81" s="9">
        <v>79.0</v>
      </c>
      <c r="B81" s="9" t="s">
        <v>2436</v>
      </c>
    </row>
    <row r="82">
      <c r="A82" s="9">
        <v>80.0</v>
      </c>
      <c r="B82" s="9" t="s">
        <v>2437</v>
      </c>
    </row>
    <row r="83">
      <c r="A83" s="9">
        <v>81.0</v>
      </c>
      <c r="B83" s="9" t="s">
        <v>2438</v>
      </c>
    </row>
    <row r="84">
      <c r="A84" s="9">
        <v>82.0</v>
      </c>
      <c r="B84" s="9" t="s">
        <v>2439</v>
      </c>
    </row>
    <row r="85">
      <c r="A85" s="9">
        <v>83.0</v>
      </c>
      <c r="B85" s="9" t="s">
        <v>2440</v>
      </c>
    </row>
  </sheetData>
  <drawing r:id="rId1"/>
</worksheet>
</file>